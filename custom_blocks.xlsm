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135" windowWidth="28035" windowHeight="12555"/>
  </bookViews>
  <sheets>
    <sheet name="Sheet1" sheetId="1" r:id="rId1"/>
    <sheet name="if,for 컨트롤타입" sheetId="2" r:id="rId2"/>
    <sheet name="기본 검증 코드" sheetId="3" r:id="rId3"/>
  </sheets>
  <calcPr calcId="145621"/>
</workbook>
</file>

<file path=xl/calcChain.xml><?xml version="1.0" encoding="utf-8"?>
<calcChain xmlns="http://schemas.openxmlformats.org/spreadsheetml/2006/main">
  <c r="E2" i="3" l="1"/>
  <c r="D2" i="3"/>
  <c r="H11" i="1"/>
  <c r="E17" i="1" l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G13" i="1" l="1"/>
  <c r="G12" i="1"/>
  <c r="G14" i="1"/>
  <c r="E3" i="1"/>
  <c r="G3" i="1" s="1"/>
  <c r="E4" i="1"/>
  <c r="F4" i="1" s="1"/>
  <c r="E5" i="1"/>
  <c r="G5" i="1" s="1"/>
  <c r="E6" i="1"/>
  <c r="F6" i="1" s="1"/>
  <c r="E7" i="1"/>
  <c r="E8" i="1"/>
  <c r="F8" i="1" s="1"/>
  <c r="E9" i="1"/>
  <c r="F9" i="1" s="1"/>
  <c r="E10" i="1"/>
  <c r="E11" i="1"/>
  <c r="F11" i="1" s="1"/>
  <c r="E2" i="1"/>
  <c r="G2" i="1" s="1"/>
  <c r="G10" i="1" l="1"/>
  <c r="F10" i="1"/>
  <c r="G7" i="1"/>
  <c r="F7" i="1"/>
  <c r="F5" i="1"/>
  <c r="F2" i="1"/>
  <c r="G11" i="1"/>
  <c r="G8" i="1"/>
  <c r="F3" i="1"/>
  <c r="G9" i="1"/>
  <c r="G6" i="1"/>
</calcChain>
</file>

<file path=xl/sharedStrings.xml><?xml version="1.0" encoding="utf-8"?>
<sst xmlns="http://schemas.openxmlformats.org/spreadsheetml/2006/main" count="71" uniqueCount="71">
  <si>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</si>
  <si>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</si>
  <si>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</si>
  <si>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</si>
  <si>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digital_pin_off</t>
    <phoneticPr fontId="1" type="noConversion"/>
  </si>
  <si>
    <t>digital_pin_sensor</t>
  </si>
  <si>
    <t>digital_pin_sensor_value</t>
  </si>
  <si>
    <t>control_sensor_start</t>
  </si>
  <si>
    <t>모양</t>
    <phoneticPr fontId="1" type="noConversion"/>
  </si>
  <si>
    <t>control_if_start</t>
  </si>
  <si>
    <t>control_iot_data_start</t>
  </si>
  <si>
    <t>control_times_loop</t>
  </si>
  <si>
    <t>control_unlimited_loop</t>
  </si>
  <si>
    <t>control_while_loop</t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</si>
  <si>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</si>
  <si>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</si>
  <si>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</si>
  <si>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</si>
  <si>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 xml:space="preserve">  return code;
};</t>
  </si>
  <si>
    <t>Blockly.JavaScript['digital_pin_on'] = function(block) {
  var dropdown_digital_select = block.getFieldValue('digital_select');
  // TODO: Assemble JavaScript into code variable.
  var code = "'digital_on':'" + dropdown_digital_select +"'";_x000D_
  return code;
};</t>
    <phoneticPr fontId="1" type="noConversion"/>
  </si>
  <si>
    <t>"'digital_pin_on':'" + dropdown_digital_select +"'";</t>
    <phoneticPr fontId="1" type="noConversion"/>
  </si>
  <si>
    <t>"'digital_pin_off':'" + dropdown_digital_select +"'";</t>
    <phoneticPr fontId="1" type="noConversion"/>
  </si>
  <si>
    <t>"'digital_pin_sensor':'" + dropdown_digital_select +"'";</t>
    <phoneticPr fontId="1" type="noConversion"/>
  </si>
  <si>
    <t>"'digital_pin_sensor_value':'" + dropdown_digital_select +"'";</t>
    <phoneticPr fontId="1" type="noConversion"/>
  </si>
  <si>
    <t xml:space="preserve">"'if':[{'" + dropdown_digital_select +"':1},{'control_type':1},{" + </t>
    <phoneticPr fontId="1" type="noConversion"/>
  </si>
  <si>
    <t>equal</t>
    <phoneticPr fontId="1" type="noConversion"/>
  </si>
  <si>
    <t>uneqal</t>
    <phoneticPr fontId="1" type="noConversion"/>
  </si>
  <si>
    <t>left_bigger</t>
    <phoneticPr fontId="1" type="noConversion"/>
  </si>
  <si>
    <t>right_bigger</t>
    <phoneticPr fontId="1" type="noConversion"/>
  </si>
  <si>
    <t>right_equal_bigger</t>
    <phoneticPr fontId="1" type="noConversion"/>
  </si>
  <si>
    <t>left_equal_bigger</t>
    <phoneticPr fontId="1" type="noConversion"/>
  </si>
  <si>
    <t>if</t>
    <phoneticPr fontId="1" type="noConversion"/>
  </si>
  <si>
    <t>종류</t>
    <phoneticPr fontId="1" type="noConversion"/>
  </si>
  <si>
    <t>control type</t>
    <phoneticPr fontId="1" type="noConversion"/>
  </si>
  <si>
    <t>for</t>
    <phoneticPr fontId="1" type="noConversion"/>
  </si>
  <si>
    <t>"{'if_iot_data':[{" + value_value_input_1 + "},{'control_type':1},{" + statements_statement_input_1 + "}]};";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</si>
  <si>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"{'if_iot_data':[{" + value_value_input_1 + "},{'control_type':1},{" + statements_statement_input_1 + "}]};";_x000D_
  return code;
};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</si>
  <si>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"'for':[{'times':" + loop_time +"},{'control_type':1},{" + statement_input_1 + "}]";_x000D_
  return code;
};</t>
    <phoneticPr fontId="1" type="noConversion"/>
  </si>
  <si>
    <t>"'{for':[{'times':" + number_loop_time +"},{'control_type':1},{" + statements_statement_input_1 + "}]}";</t>
    <phoneticPr fontId="1" type="noConversion"/>
  </si>
  <si>
    <t>"'{for':[{'infinity':1},{'control_type':1},{" + statements_statement_input_1  + "}]}";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</si>
  <si>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"'{for':[{'infinity':1},{'control_type':1},{" + statements_statement_input_1  + "}]}";_x000D_
  return code;
};</t>
    <phoneticPr fontId="1" type="noConversion"/>
  </si>
  <si>
    <t>{
  "type": "control_while_loop",
  "message0": "반복 %1 계속 확인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</si>
  <si>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</si>
  <si>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변수1</t>
    <phoneticPr fontId="1" type="noConversion"/>
  </si>
  <si>
    <t>변수2</t>
    <phoneticPr fontId="1" type="noConversion"/>
  </si>
  <si>
    <t>스테이트먼트 input</t>
    <phoneticPr fontId="1" type="noConversion"/>
  </si>
  <si>
    <t>기타1</t>
    <phoneticPr fontId="1" type="noConversion"/>
  </si>
  <si>
    <t>"{'for':[{" + value_value_input_1 + "},{'control_type':1},{" + statements_statement_input_1 + "}]};";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</si>
  <si>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"{'for':[{" + value_value_input_1 + "},{'control_type':1},{" + statements_statement_input_1 + "}]};";_x000D_
  return code;
};</t>
    <phoneticPr fontId="1" type="noConversion"/>
  </si>
  <si>
    <t>{
  "type": "control_unlimited_loop",
  "message0": "무한반복 %1 %2",
  "args0": [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</si>
  <si>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</si>
  <si>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"control_times_loop",
  "message0": "반복 %1 회 %2 %3",
  "args0": [
    {
      "type": "field_number",
      "name": "loop_time",
      "value": 0,
      "min": 0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</si>
  <si>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</si>
  <si>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"control_iot_data_start",
  "message0": "통신 메시지 = 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</si>
  <si>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</si>
  <si>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"control_if_start",
  "message0": "만약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</si>
  <si>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</si>
  <si>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var item;
    {'if':'[{'validation':'({'equal':[{'item':''}]})'},{'control_type':1},{'contents':'  item = 0;
      item = (typeof item == 'number' ? item : 0) + item;
    '}]'}</t>
    <phoneticPr fontId="1" type="noConversion"/>
  </si>
  <si>
    <t>만들어진 코드</t>
    <phoneticPr fontId="1" type="noConversion"/>
  </si>
  <si>
    <t>{개수</t>
    <phoneticPr fontId="1" type="noConversion"/>
  </si>
  <si>
    <t>}개수</t>
    <phoneticPr fontId="1" type="noConversion"/>
  </si>
  <si>
    <t>{시작 되는 개수 = 끝나는 개수가 같아지는 때 까지 길이 찾기-&gt; 한 개 덩어리</t>
    <phoneticPr fontId="1" type="noConversion"/>
  </si>
  <si>
    <t>처음 '와 다음 '사이의 string 추출 -&gt; if, for, digital_write등 찾기</t>
    <phoneticPr fontId="1" type="noConversion"/>
  </si>
  <si>
    <t>json parser로 if찾고 다음 내용을 string으로 가져오기</t>
    <phoneticPr fontId="1" type="noConversion"/>
  </si>
  <si>
    <t>가져온 string을 다시 처음 재귀함수로 넣어서 if, for가 아니면 재귀 멈추기</t>
    <phoneticPr fontId="1" type="noConversion"/>
  </si>
  <si>
    <t>"[{'block_type':'if','control_type':1,'value1':'" + value_value_input_1 + "', 'statement1':'" + statements_statement_input_1 + "'}]";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</si>
  <si>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"[{'block_type':'if','control_type':1,'value1':'" + value_value_input_1 + "', 'statement1':'" + statements_statement_input_1 + "'}]";_x000D_
  return code;
};</t>
    <phoneticPr fontId="1" type="noConversion"/>
  </si>
  <si>
    <t>{
  "type": "equal",
  "message0": "%1 = %2",
  "args0": [
    {
      "type": "input_value",
      "name": "value1"
    },
    {
      "type": "input_value",
      "name": "value2"
    }
  ],
  "inputsInline": true,
  "output": null,
  "colour": 230,
  "tooltip": "",
  "helpUrl": ""
}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</si>
  <si>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</si>
  <si>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 xml:space="preserve">"[{'block_type':'equal', 'control_type':1, 'value1':'" + value_value1 + "', 'value2':'"+ value_value2 + "'}]";
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</si>
  <si>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"[{'block_type':'equal', 'control_type':1, 'value1':'" + value_value1 + "', 'value2':'"+ value_value2 + "'}]";
_x000D_
// TODO: Change ORDER_NONE to the correct strength.
  return [code, Blockly.JavaScript.ORDER_NONE];
};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</si>
</sst>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rgb="FF6A8759"/>
      <name val="굴림체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>
      <alignment vertical="center"/>
    </xf>
    <xf numFmtId="0" fontId="3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1</xdr:col>
      <xdr:colOff>6410325</xdr:colOff>
      <xdr:row>14</xdr:row>
      <xdr:rowOff>200535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85725"/>
          <a:ext cx="7848600" cy="4724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"/>
  <sheetViews>
    <sheetView tabSelected="1" topLeftCell="A11" zoomScale="55" zoomScaleNormal="55" workbookViewId="0">
      <selection activeCell="D11" sqref="D11"/>
    </sheetView>
  </sheetViews>
  <sheetFormatPr defaultRowHeight="16.5" x14ac:dyDescent="0.3"/>
  <cols>
    <col min="1" max="1" width="24.25" bestFit="1" customWidth="1"/>
    <col min="2" max="2" width="18.875" customWidth="1"/>
    <col min="3" max="3" width="10.625" bestFit="1" customWidth="1"/>
    <col min="4" max="4" width="144.5" customWidth="1"/>
    <col min="5" max="5" width="38" customWidth="1"/>
    <col min="6" max="6" width="35.25" customWidth="1"/>
    <col min="7" max="7" width="28.5" customWidth="1"/>
    <col min="8" max="11" width="28.5" hidden="1" customWidth="1"/>
    <col min="12" max="12" width="47.875" customWidth="1"/>
    <col min="13" max="13" width="41.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8</v>
      </c>
      <c r="E1" t="s">
        <v>16</v>
      </c>
      <c r="F1" t="s">
        <v>14</v>
      </c>
      <c r="G1" t="s">
        <v>15</v>
      </c>
      <c r="H1" t="s">
        <v>43</v>
      </c>
      <c r="I1" t="s">
        <v>44</v>
      </c>
      <c r="J1" t="s">
        <v>45</v>
      </c>
      <c r="K1" t="s">
        <v>46</v>
      </c>
      <c r="L1" t="s">
        <v>17</v>
      </c>
    </row>
    <row r="2" spans="1:14" ht="165" x14ac:dyDescent="0.3">
      <c r="A2" t="s">
        <v>3</v>
      </c>
      <c r="B2" s="1"/>
      <c r="C2" s="1"/>
      <c r="E2" t="e">
        <f>FIND("var code = ",C2)</f>
        <v>#VALUE!</v>
      </c>
      <c r="F2" s="1" t="e">
        <f>LEFT(C2,E2+10)</f>
        <v>#VALUE!</v>
      </c>
      <c r="G2" t="e">
        <f>RIGHT(C2,LEN(C2)-E2-20)</f>
        <v>#VALUE!</v>
      </c>
      <c r="L2" t="s">
        <v>20</v>
      </c>
      <c r="M2" s="3" t="s">
        <v>19</v>
      </c>
      <c r="N2" s="1"/>
    </row>
    <row r="3" spans="1:14" x14ac:dyDescent="0.3">
      <c r="A3" t="s">
        <v>4</v>
      </c>
      <c r="B3" s="1"/>
      <c r="C3" s="1"/>
      <c r="E3" t="e">
        <f t="shared" ref="E3:E17" si="0">FIND("var code = ",C3)</f>
        <v>#VALUE!</v>
      </c>
      <c r="F3" s="1" t="e">
        <f t="shared" ref="F3:F17" si="1">LEFT(C3,E3+10)</f>
        <v>#VALUE!</v>
      </c>
      <c r="G3" t="e">
        <f t="shared" ref="G3:G11" si="2">RIGHT(C3,LEN(C3)-E3-20)</f>
        <v>#VALUE!</v>
      </c>
      <c r="L3" t="s">
        <v>21</v>
      </c>
      <c r="M3" s="1"/>
    </row>
    <row r="4" spans="1:14" x14ac:dyDescent="0.3">
      <c r="A4" t="s">
        <v>5</v>
      </c>
      <c r="B4" s="1"/>
      <c r="C4" s="1"/>
      <c r="E4" t="e">
        <f t="shared" si="0"/>
        <v>#VALUE!</v>
      </c>
      <c r="F4" s="1" t="e">
        <f t="shared" si="1"/>
        <v>#VALUE!</v>
      </c>
      <c r="G4" t="s">
        <v>18</v>
      </c>
      <c r="L4" t="s">
        <v>22</v>
      </c>
      <c r="M4" s="1"/>
    </row>
    <row r="5" spans="1:14" x14ac:dyDescent="0.3">
      <c r="A5" t="s">
        <v>6</v>
      </c>
      <c r="B5" s="1"/>
      <c r="C5" s="1"/>
      <c r="E5" t="e">
        <f t="shared" si="0"/>
        <v>#VALUE!</v>
      </c>
      <c r="F5" s="1" t="e">
        <f t="shared" si="1"/>
        <v>#VALUE!</v>
      </c>
      <c r="G5" t="e">
        <f t="shared" si="2"/>
        <v>#VALUE!</v>
      </c>
      <c r="L5" t="s">
        <v>23</v>
      </c>
      <c r="M5" s="1"/>
    </row>
    <row r="6" spans="1:14" x14ac:dyDescent="0.3">
      <c r="A6" t="s">
        <v>7</v>
      </c>
      <c r="B6" s="1"/>
      <c r="C6" s="1"/>
      <c r="E6" t="e">
        <f t="shared" si="0"/>
        <v>#VALUE!</v>
      </c>
      <c r="F6" s="1" t="e">
        <f t="shared" si="1"/>
        <v>#VALUE!</v>
      </c>
      <c r="G6" t="e">
        <f t="shared" si="2"/>
        <v>#VALUE!</v>
      </c>
      <c r="L6" t="s">
        <v>24</v>
      </c>
    </row>
    <row r="7" spans="1:14" ht="409.5" x14ac:dyDescent="0.3">
      <c r="A7" t="s">
        <v>9</v>
      </c>
      <c r="B7" s="2" t="s">
        <v>55</v>
      </c>
      <c r="C7" s="1" t="s">
        <v>56</v>
      </c>
      <c r="E7">
        <f t="shared" si="0"/>
        <v>331</v>
      </c>
      <c r="F7" s="1" t="str">
        <f t="shared" si="1"/>
        <v xml:space="preserve"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7" t="str">
        <f t="shared" si="2"/>
        <v xml:space="preserve">  return code;
};</v>
      </c>
      <c r="L7" s="4" t="s">
        <v>65</v>
      </c>
      <c r="M7" s="1" t="s">
        <v>66</v>
      </c>
    </row>
    <row r="8" spans="1:14" ht="409.5" x14ac:dyDescent="0.3">
      <c r="A8" t="s">
        <v>10</v>
      </c>
      <c r="B8" s="1" t="s">
        <v>53</v>
      </c>
      <c r="C8" s="1" t="s">
        <v>54</v>
      </c>
      <c r="E8">
        <f t="shared" si="0"/>
        <v>337</v>
      </c>
      <c r="F8" s="1" t="str">
        <f t="shared" si="1"/>
        <v xml:space="preserve"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8" t="str">
        <f t="shared" si="2"/>
        <v xml:space="preserve">  return code;
};</v>
      </c>
      <c r="L8" s="4" t="s">
        <v>35</v>
      </c>
      <c r="M8" s="1" t="s">
        <v>36</v>
      </c>
    </row>
    <row r="9" spans="1:14" ht="409.5" x14ac:dyDescent="0.3">
      <c r="A9" t="s">
        <v>11</v>
      </c>
      <c r="B9" s="1" t="s">
        <v>51</v>
      </c>
      <c r="C9" s="1" t="s">
        <v>52</v>
      </c>
      <c r="E9">
        <f t="shared" si="0"/>
        <v>275</v>
      </c>
      <c r="F9" s="1" t="str">
        <f t="shared" si="1"/>
        <v xml:space="preserve"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</v>
      </c>
      <c r="G9" t="str">
        <f t="shared" si="2"/>
        <v xml:space="preserve">  return code;
};</v>
      </c>
      <c r="L9" s="4" t="s">
        <v>38</v>
      </c>
      <c r="M9" s="1" t="s">
        <v>37</v>
      </c>
    </row>
    <row r="10" spans="1:14" ht="409.5" x14ac:dyDescent="0.3">
      <c r="A10" t="s">
        <v>12</v>
      </c>
      <c r="B10" s="1" t="s">
        <v>49</v>
      </c>
      <c r="C10" s="1" t="s">
        <v>50</v>
      </c>
      <c r="E10">
        <f t="shared" si="0"/>
        <v>220</v>
      </c>
      <c r="F10" s="1" t="str">
        <f t="shared" si="1"/>
        <v xml:space="preserve">Blockly.JavaScript['control_unlimited_loop'] = function(block) {
  var statements_statement_input_1 = Blockly.JavaScript.statementToCode(block, 'statement_input_1');
  // TODO: Assemble JavaScript into code variable.
  var code = </v>
      </c>
      <c r="G10" t="str">
        <f t="shared" si="2"/>
        <v xml:space="preserve">  return code;
};</v>
      </c>
      <c r="L10" s="4" t="s">
        <v>39</v>
      </c>
      <c r="M10" s="1" t="s">
        <v>40</v>
      </c>
    </row>
    <row r="11" spans="1:14" ht="409.5" x14ac:dyDescent="0.3">
      <c r="A11" t="s">
        <v>13</v>
      </c>
      <c r="B11" s="1" t="s">
        <v>41</v>
      </c>
      <c r="C11" s="1" t="s">
        <v>42</v>
      </c>
      <c r="E11">
        <f t="shared" si="0"/>
        <v>333</v>
      </c>
      <c r="F11" s="1" t="str">
        <f t="shared" si="1"/>
        <v xml:space="preserve"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11" t="str">
        <f t="shared" si="2"/>
        <v xml:space="preserve">  return code;
};</v>
      </c>
      <c r="H11" t="str">
        <f>MID(F11,FIND("var ",F11)+4,FIND("=",MID(F11,FIND("var ",F11),40))-6)</f>
        <v>value_value_input_1</v>
      </c>
      <c r="L11" s="4" t="s">
        <v>47</v>
      </c>
      <c r="M11" s="1" t="s">
        <v>48</v>
      </c>
    </row>
    <row r="12" spans="1:14" ht="409.5" x14ac:dyDescent="0.3">
      <c r="A12" t="s">
        <v>25</v>
      </c>
      <c r="B12" s="1" t="s">
        <v>67</v>
      </c>
      <c r="C12" s="1" t="s">
        <v>68</v>
      </c>
      <c r="E12">
        <f t="shared" si="0"/>
        <v>308</v>
      </c>
      <c r="F12" s="1" t="str">
        <f t="shared" si="1"/>
        <v xml:space="preserve"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</v>
      </c>
      <c r="G12" t="str">
        <f>RIGHT(C12,LEN(C12)-E12-19)</f>
        <v>// TODO: Change ORDER_NONE to the correct strength.
  return [code, Blockly.JavaScript.ORDER_NONE];
};</v>
      </c>
      <c r="L12" s="3" t="s">
        <v>69</v>
      </c>
      <c r="M12" s="1" t="s">
        <v>70</v>
      </c>
    </row>
    <row r="13" spans="1:14" x14ac:dyDescent="0.3">
      <c r="A13" t="s">
        <v>26</v>
      </c>
      <c r="B13" s="1"/>
      <c r="C13" s="1"/>
      <c r="E13" t="e">
        <f t="shared" si="0"/>
        <v>#VALUE!</v>
      </c>
      <c r="F13" s="1" t="e">
        <f t="shared" si="1"/>
        <v>#VALUE!</v>
      </c>
      <c r="G13" t="e">
        <f>RIGHT(C13,LEN(C13)-E13-19)</f>
        <v>#VALUE!</v>
      </c>
    </row>
    <row r="14" spans="1:14" x14ac:dyDescent="0.3">
      <c r="A14" t="s">
        <v>27</v>
      </c>
      <c r="B14" s="1"/>
      <c r="C14" s="1"/>
      <c r="E14" t="e">
        <f t="shared" si="0"/>
        <v>#VALUE!</v>
      </c>
      <c r="F14" s="1" t="e">
        <f t="shared" si="1"/>
        <v>#VALUE!</v>
      </c>
      <c r="G14" t="e">
        <f>RIGHT(C14,LEN(C14)-E14-19)</f>
        <v>#VALUE!</v>
      </c>
    </row>
    <row r="15" spans="1:14" x14ac:dyDescent="0.3">
      <c r="A15" t="s">
        <v>28</v>
      </c>
      <c r="B15" s="1"/>
      <c r="C15" s="1"/>
      <c r="E15" t="e">
        <f t="shared" si="0"/>
        <v>#VALUE!</v>
      </c>
      <c r="F15" s="1" t="e">
        <f t="shared" si="1"/>
        <v>#VALUE!</v>
      </c>
    </row>
    <row r="16" spans="1:14" x14ac:dyDescent="0.3">
      <c r="A16" t="s">
        <v>29</v>
      </c>
      <c r="B16" s="1"/>
      <c r="C16" s="1"/>
      <c r="E16" t="e">
        <f t="shared" si="0"/>
        <v>#VALUE!</v>
      </c>
      <c r="F16" s="1" t="e">
        <f t="shared" si="1"/>
        <v>#VALUE!</v>
      </c>
    </row>
    <row r="17" spans="1:6" x14ac:dyDescent="0.3">
      <c r="A17" t="s">
        <v>30</v>
      </c>
      <c r="B17" s="1"/>
      <c r="C17" s="1"/>
      <c r="E17" t="e">
        <f t="shared" si="0"/>
        <v>#VALUE!</v>
      </c>
      <c r="F17" s="1" t="e">
        <f t="shared" si="1"/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7"/>
  <sheetViews>
    <sheetView workbookViewId="0">
      <selection activeCell="E7" sqref="E7"/>
    </sheetView>
  </sheetViews>
  <sheetFormatPr defaultRowHeight="16.5" x14ac:dyDescent="0.3"/>
  <sheetData>
    <row r="1" spans="2:3" x14ac:dyDescent="0.3">
      <c r="B1" t="s">
        <v>32</v>
      </c>
      <c r="C1" t="s">
        <v>33</v>
      </c>
    </row>
    <row r="2" spans="2:3" x14ac:dyDescent="0.3">
      <c r="B2" t="s">
        <v>31</v>
      </c>
      <c r="C2">
        <v>1</v>
      </c>
    </row>
    <row r="3" spans="2:3" x14ac:dyDescent="0.3">
      <c r="C3">
        <v>2</v>
      </c>
    </row>
    <row r="4" spans="2:3" x14ac:dyDescent="0.3">
      <c r="C4">
        <v>3</v>
      </c>
    </row>
    <row r="5" spans="2:3" x14ac:dyDescent="0.3">
      <c r="B5" t="s">
        <v>34</v>
      </c>
      <c r="C5">
        <v>1</v>
      </c>
    </row>
    <row r="6" spans="2:3" x14ac:dyDescent="0.3">
      <c r="C6">
        <v>2</v>
      </c>
    </row>
    <row r="7" spans="2:3" x14ac:dyDescent="0.3">
      <c r="C7">
        <v>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A31" sqref="A31"/>
    </sheetView>
  </sheetViews>
  <sheetFormatPr defaultRowHeight="16.5" x14ac:dyDescent="0.3"/>
  <cols>
    <col min="1" max="1" width="20.5" bestFit="1" customWidth="1"/>
    <col min="2" max="2" width="84.625" customWidth="1"/>
    <col min="3" max="3" width="78" customWidth="1"/>
  </cols>
  <sheetData>
    <row r="1" spans="1:5" x14ac:dyDescent="0.3">
      <c r="B1" s="1"/>
      <c r="C1" s="1" t="s">
        <v>58</v>
      </c>
      <c r="D1" t="s">
        <v>59</v>
      </c>
      <c r="E1" t="s">
        <v>60</v>
      </c>
    </row>
    <row r="2" spans="1:5" ht="148.5" x14ac:dyDescent="0.3">
      <c r="A2" s="5"/>
      <c r="B2" s="1"/>
      <c r="C2" s="1" t="s">
        <v>57</v>
      </c>
      <c r="D2">
        <f>LEN(C2)-LEN(SUBSTITUTE(C2,"{",""))</f>
        <v>6</v>
      </c>
      <c r="E2">
        <f>LEN(C2)-LEN(SUBSTITUTE(C2,"}",""))</f>
        <v>6</v>
      </c>
    </row>
    <row r="4" spans="1:5" x14ac:dyDescent="0.3">
      <c r="C4" t="s">
        <v>61</v>
      </c>
    </row>
    <row r="5" spans="1:5" x14ac:dyDescent="0.3">
      <c r="C5" t="s">
        <v>62</v>
      </c>
    </row>
    <row r="6" spans="1:5" x14ac:dyDescent="0.3">
      <c r="C6" t="s">
        <v>63</v>
      </c>
    </row>
    <row r="7" spans="1:5" x14ac:dyDescent="0.3">
      <c r="C7" t="s">
        <v>64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if,for 컨트롤타입</vt:lpstr>
      <vt:lpstr>기본 검증 코드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KimFamily</cp:lastModifiedBy>
  <dcterms:created xsi:type="dcterms:W3CDTF">2018-10-30T16:09:25Z</dcterms:created>
  <dcterms:modified xsi:type="dcterms:W3CDTF">2018-11-18T17:06:22Z</dcterms:modified>
</cp:coreProperties>
</file>