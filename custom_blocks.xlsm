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135" windowWidth="28035" windowHeight="12555" activeTab="2"/>
  </bookViews>
  <sheets>
    <sheet name="Sheet1" sheetId="1" r:id="rId1"/>
    <sheet name="기본 검증 코드" sheetId="3" r:id="rId2"/>
    <sheet name="byte 변환 코드" sheetId="4" r:id="rId3"/>
    <sheet name="만들 기능들" sheetId="5" r:id="rId4"/>
  </sheets>
  <calcPr calcId="145621"/>
</workbook>
</file>

<file path=xl/calcChain.xml><?xml version="1.0" encoding="utf-8"?>
<calcChain xmlns="http://schemas.openxmlformats.org/spreadsheetml/2006/main">
  <c r="F5" i="4" l="1"/>
  <c r="F59" i="4" l="1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37" i="4"/>
  <c r="F38" i="4"/>
  <c r="F39" i="4"/>
  <c r="F40" i="4"/>
  <c r="F41" i="4"/>
  <c r="F42" i="4"/>
  <c r="F43" i="4"/>
  <c r="F44" i="4"/>
  <c r="F45" i="4"/>
  <c r="F46" i="4"/>
  <c r="F30" i="4"/>
  <c r="F31" i="4"/>
  <c r="F32" i="4"/>
  <c r="F33" i="4"/>
  <c r="F34" i="4"/>
  <c r="F35" i="4"/>
  <c r="F36" i="4"/>
  <c r="F47" i="4"/>
  <c r="F48" i="4"/>
  <c r="F49" i="4"/>
  <c r="F50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51" i="4"/>
  <c r="F52" i="4"/>
  <c r="F53" i="4"/>
  <c r="F54" i="4"/>
  <c r="F55" i="4"/>
  <c r="F56" i="4"/>
  <c r="F57" i="4"/>
  <c r="F58" i="4"/>
  <c r="F8" i="4"/>
  <c r="F6" i="4" l="1"/>
  <c r="F7" i="4"/>
  <c r="E2" i="3" l="1"/>
  <c r="D2" i="3"/>
  <c r="H11" i="1"/>
  <c r="E17" i="1" l="1"/>
  <c r="F17" i="1" s="1"/>
  <c r="E16" i="1"/>
  <c r="F16" i="1" s="1"/>
  <c r="E15" i="1"/>
  <c r="F15" i="1" s="1"/>
  <c r="E14" i="1"/>
  <c r="F14" i="1" s="1"/>
  <c r="E13" i="1"/>
  <c r="F13" i="1" s="1"/>
  <c r="E12" i="1"/>
  <c r="F12" i="1" s="1"/>
  <c r="G13" i="1" l="1"/>
  <c r="G12" i="1"/>
  <c r="G14" i="1"/>
  <c r="E3" i="1"/>
  <c r="G3" i="1" s="1"/>
  <c r="E4" i="1"/>
  <c r="F4" i="1" s="1"/>
  <c r="E5" i="1"/>
  <c r="G5" i="1" s="1"/>
  <c r="E6" i="1"/>
  <c r="F6" i="1" s="1"/>
  <c r="E7" i="1"/>
  <c r="E8" i="1"/>
  <c r="F8" i="1" s="1"/>
  <c r="E9" i="1"/>
  <c r="F9" i="1" s="1"/>
  <c r="E10" i="1"/>
  <c r="E11" i="1"/>
  <c r="F11" i="1" s="1"/>
  <c r="E2" i="1"/>
  <c r="G2" i="1" s="1"/>
  <c r="G10" i="1" l="1"/>
  <c r="F10" i="1"/>
  <c r="G7" i="1"/>
  <c r="F7" i="1"/>
  <c r="F5" i="1"/>
  <c r="F2" i="1"/>
  <c r="G11" i="1"/>
  <c r="G8" i="1"/>
  <c r="F3" i="1"/>
  <c r="G9" i="1"/>
  <c r="G6" i="1"/>
</calcChain>
</file>

<file path=xl/sharedStrings.xml><?xml version="1.0" encoding="utf-8"?>
<sst xmlns="http://schemas.openxmlformats.org/spreadsheetml/2006/main" count="185" uniqueCount="170">
  <si>
    <t>블록이름</t>
    <phoneticPr fontId="1" type="noConversion"/>
  </si>
  <si>
    <t>json</t>
    <phoneticPr fontId="1" type="noConversion"/>
  </si>
  <si>
    <t>script</t>
    <phoneticPr fontId="1" type="noConversion"/>
  </si>
  <si>
    <t>digital_pin_on</t>
    <phoneticPr fontId="1" type="noConversion"/>
  </si>
  <si>
    <t>digital_pin_off</t>
    <phoneticPr fontId="1" type="noConversion"/>
  </si>
  <si>
    <t>digital_pin_sensor</t>
  </si>
  <si>
    <t>digital_pin_sensor_value</t>
  </si>
  <si>
    <t>control_sensor_start</t>
  </si>
  <si>
    <t>모양</t>
    <phoneticPr fontId="1" type="noConversion"/>
  </si>
  <si>
    <t>control_if_start</t>
  </si>
  <si>
    <t>control_iot_data_start</t>
  </si>
  <si>
    <t>control_times_loop</t>
  </si>
  <si>
    <t>control_unlimited_loop</t>
  </si>
  <si>
    <t>control_while_loop</t>
  </si>
  <si>
    <t>스크립트 앞</t>
    <phoneticPr fontId="1" type="noConversion"/>
  </si>
  <si>
    <t>스크립트 뒤</t>
    <phoneticPr fontId="1" type="noConversion"/>
  </si>
  <si>
    <t>var code 찾기</t>
    <phoneticPr fontId="1" type="noConversion"/>
  </si>
  <si>
    <t>리턴 코드 작성</t>
    <phoneticPr fontId="1" type="noConversion"/>
  </si>
  <si>
    <t xml:space="preserve">  return code;
};</t>
  </si>
  <si>
    <t>Blockly.JavaScript['digital_pin_on'] = function(block) {
  var dropdown_digital_select = block.getFieldValue('digital_select');
  // TODO: Assemble JavaScript into code variable.
  var code = "'digital_on':'" + dropdown_digital_select +"'";_x000D_
  return code;
};</t>
    <phoneticPr fontId="1" type="noConversion"/>
  </si>
  <si>
    <t>"'digital_pin_on':'" + dropdown_digital_select +"'";</t>
    <phoneticPr fontId="1" type="noConversion"/>
  </si>
  <si>
    <t>"'digital_pin_off':'" + dropdown_digital_select +"'";</t>
    <phoneticPr fontId="1" type="noConversion"/>
  </si>
  <si>
    <t>"'digital_pin_sensor':'" + dropdown_digital_select +"'";</t>
    <phoneticPr fontId="1" type="noConversion"/>
  </si>
  <si>
    <t>"'digital_pin_sensor_value':'" + dropdown_digital_select +"'";</t>
    <phoneticPr fontId="1" type="noConversion"/>
  </si>
  <si>
    <t xml:space="preserve">"'if':[{'" + dropdown_digital_select +"':1},{'control_type':1},{" + </t>
    <phoneticPr fontId="1" type="noConversion"/>
  </si>
  <si>
    <t>equal</t>
    <phoneticPr fontId="1" type="noConversion"/>
  </si>
  <si>
    <t>uneqal</t>
    <phoneticPr fontId="1" type="noConversion"/>
  </si>
  <si>
    <t>left_bigger</t>
    <phoneticPr fontId="1" type="noConversion"/>
  </si>
  <si>
    <t>right_bigger</t>
    <phoneticPr fontId="1" type="noConversion"/>
  </si>
  <si>
    <t>right_equal_bigger</t>
    <phoneticPr fontId="1" type="noConversion"/>
  </si>
  <si>
    <t>left_equal_bigger</t>
    <phoneticPr fontId="1" type="noConversion"/>
  </si>
  <si>
    <t>"{'if_iot_data':[{" + value_value_input_1 + "},{'control_type':1},{" + statements_statement_input_1 + "}]};";</t>
    <phoneticPr fontId="1" type="noConversion"/>
  </si>
  <si>
    <t>Blockly.JavaScript['control_iot_data_start']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"{'if_iot_data':[{" + value_value_input_1 + "},{'control_type':1},{" + statements_statement_input_1 + "}]};";_x000D_
  return code;
};</t>
    <phoneticPr fontId="1" type="noConversion"/>
  </si>
  <si>
    <t>Blockly.JavaScript['control_times_loop'] = function(block) {
  var number_loop_time = block.getFieldValue('loop_time');
  var statements_statement_input_1 = Blockly.JavaScript.statementToCode(block, 'statement_input_1');
  // TODO: Assemble JavaScript into code variable.
  var code = "'for':[{'times':" + loop_time +"},{'control_type':1},{" + statement_input_1 + "}]";_x000D_
  return code;
};</t>
    <phoneticPr fontId="1" type="noConversion"/>
  </si>
  <si>
    <t>"'{for':[{'times':" + number_loop_time +"},{'control_type':1},{" + statements_statement_input_1 + "}]}";</t>
    <phoneticPr fontId="1" type="noConversion"/>
  </si>
  <si>
    <t>"'{for':[{'infinity':1},{'control_type':1},{" + statements_statement_input_1  + "}]}";</t>
    <phoneticPr fontId="1" type="noConversion"/>
  </si>
  <si>
    <t>Blockly.JavaScript['control_unlimited_loop'] = function(block) {
  var statements_statement_input_1 = Blockly.JavaScript.statementToCode(block, 'statement_input_1');
  // TODO: Assemble JavaScript into code variable.
  var code = "'{for':[{'infinity':1},{'control_type':1},{" + statements_statement_input_1  + "}]}";_x000D_
  return code;
};</t>
    <phoneticPr fontId="1" type="noConversion"/>
  </si>
  <si>
    <t>{
  "type": "control_while_loop",
  "message0": "반복 %1 계속 확인 %2 %3",
  "args0": [
    {
      "type": "input_value",
      "name": "value_input_1"
    },
    {
      "type": "input_dummy"
    },
    {
      "type": "input_statement",
      "name": "statement_input_1"
    }
  ],
  "inputsInline": true,
  "previousStatement": null,
  "nextStatement": null,
  "colour": 45,
  "tooltip": "",
  "helpUrl": ""
}</t>
    <phoneticPr fontId="1" type="noConversion"/>
  </si>
  <si>
    <t>Blockly.JavaScript['control_while_loop']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'...;\n';
  return code;
};</t>
    <phoneticPr fontId="1" type="noConversion"/>
  </si>
  <si>
    <t>변수1</t>
    <phoneticPr fontId="1" type="noConversion"/>
  </si>
  <si>
    <t>변수2</t>
    <phoneticPr fontId="1" type="noConversion"/>
  </si>
  <si>
    <t>스테이트먼트 input</t>
    <phoneticPr fontId="1" type="noConversion"/>
  </si>
  <si>
    <t>기타1</t>
    <phoneticPr fontId="1" type="noConversion"/>
  </si>
  <si>
    <t>"{'for':[{" + value_value_input_1 + "},{'control_type':1},{" + statements_statement_input_1 + "}]};";</t>
    <phoneticPr fontId="1" type="noConversion"/>
  </si>
  <si>
    <t>Blockly.JavaScript['control_while_loop']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"{'for':[{" + value_value_input_1 + "},{'control_type':1},{" + statements_statement_input_1 + "}]};";_x000D_
  return code;
};</t>
    <phoneticPr fontId="1" type="noConversion"/>
  </si>
  <si>
    <t>{
  "type": "control_unlimited_loop",
  "message0": "무한반복 %1 %2",
  "args0": [
    {
      "type": "input_dummy"
    },
    {
      "type": "input_statement",
      "name": "statement_input_1"
    }
  ],
  "inputsInline": true,
  "previousStatement": null,
  "nextStatement": null,
  "colour": 45,
  "tooltip": "",
  "helpUrl": ""
}</t>
    <phoneticPr fontId="1" type="noConversion"/>
  </si>
  <si>
    <t>Blockly.JavaScript['control_unlimited_loop'] = function(block) {
  var statements_statement_input_1 = Blockly.JavaScript.statementToCode(block, 'statement_input_1');
  // TODO: Assemble JavaScript into code variable.
  var code = '...;\n';
  return code;
};</t>
    <phoneticPr fontId="1" type="noConversion"/>
  </si>
  <si>
    <t>{
  "type": "control_times_loop",
  "message0": "반복 %1 회 %2 %3",
  "args0": [
    {
      "type": "field_number",
      "name": "loop_time",
      "value": 0,
      "min": 0
    },
    {
      "type": "input_dummy"
    },
    {
      "type": "input_statement",
      "name": "statement_input_1"
    }
  ],
  "inputsInline": true,
  "previousStatement": null,
  "nextStatement": null,
  "colour": 45,
  "tooltip": "",
  "helpUrl": ""
}</t>
    <phoneticPr fontId="1" type="noConversion"/>
  </si>
  <si>
    <t>Blockly.JavaScript['control_times_loop'] = function(block) {
  var number_loop_time = block.getFieldValue('loop_time');
  var statements_statement_input_1 = Blockly.JavaScript.statementToCode(block, 'statement_input_1');
  // TODO: Assemble JavaScript into code variable.
  var code = '...;\n';
  return code;
};</t>
    <phoneticPr fontId="1" type="noConversion"/>
  </si>
  <si>
    <t>{
  "type": "control_iot_data_start",
  "message0": "통신 메시지 =  %1 맞을 때 %2 %3",
  "args0": [
    {
      "type": "input_value",
      "name": "value_input_1"
    },
    {
      "type": "input_dummy"
    },
    {
      "type": "input_statement",
      "name": "statement_input_1"
    }
  ],
  "inputsInline": true,
  "previousStatement": null,
  "nextStatement": null,
  "colour": 225,
  "tooltip": "",
  "helpUrl": ""
}</t>
    <phoneticPr fontId="1" type="noConversion"/>
  </si>
  <si>
    <t>Blockly.JavaScript['control_iot_data_start']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'...;\n';
  return code;
};</t>
    <phoneticPr fontId="1" type="noConversion"/>
  </si>
  <si>
    <t>{
  "type": "control_if_start",
  "message0": "만약 %1 맞을 때 %2 %3",
  "args0": [
    {
      "type": "input_value",
      "name": "value_input_1"
    },
    {
      "type": "input_dummy"
    },
    {
      "type": "input_statement",
      "name": "statement_input_1"
    }
  ],
  "inputsInline": true,
  "previousStatement": null,
  "nextStatement": null,
  "colour": 225,
  "tooltip": "",
  "helpUrl": ""
}</t>
    <phoneticPr fontId="1" type="noConversion"/>
  </si>
  <si>
    <t>Blockly.JavaScript['control_if_start']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'...;\n';
  return code;
};</t>
    <phoneticPr fontId="1" type="noConversion"/>
  </si>
  <si>
    <t>var item;
    {'if':'[{'validation':'({'equal':[{'item':''}]})'},{'control_type':1},{'contents':'  item = 0;
      item = (typeof item == 'number' ? item : 0) + item;
    '}]'}</t>
    <phoneticPr fontId="1" type="noConversion"/>
  </si>
  <si>
    <t>만들어진 코드</t>
    <phoneticPr fontId="1" type="noConversion"/>
  </si>
  <si>
    <t>{개수</t>
    <phoneticPr fontId="1" type="noConversion"/>
  </si>
  <si>
    <t>}개수</t>
    <phoneticPr fontId="1" type="noConversion"/>
  </si>
  <si>
    <t>{시작 되는 개수 = 끝나는 개수가 같아지는 때 까지 길이 찾기-&gt; 한 개 덩어리</t>
    <phoneticPr fontId="1" type="noConversion"/>
  </si>
  <si>
    <t>처음 '와 다음 '사이의 string 추출 -&gt; if, for, digital_write등 찾기</t>
    <phoneticPr fontId="1" type="noConversion"/>
  </si>
  <si>
    <t>json parser로 if찾고 다음 내용을 string으로 가져오기</t>
    <phoneticPr fontId="1" type="noConversion"/>
  </si>
  <si>
    <t>가져온 string을 다시 처음 재귀함수로 넣어서 if, for가 아니면 재귀 멈추기</t>
    <phoneticPr fontId="1" type="noConversion"/>
  </si>
  <si>
    <t>{
  "type": "equal",
  "message0": "%1 = %2",
  "args0": [
    {
      "type": "input_value",
      "name": "value1"
    },
    {
      "type": "input_value",
      "name": "value2"
    }
  ],
  "inputsInline": true,
  "output": null,
  "colour": 230,
  "tooltip": "",
  "helpUrl": ""
}</t>
    <phoneticPr fontId="1" type="noConversion"/>
  </si>
  <si>
    <t>Blockly.JavaScript['equal'] = function(block) {
  var value_value1 = Blockly.JavaScript.valueToCode(block, 'value1', Blockly.JavaScript.ORDER_ATOMIC);
  var value_value2 = Blockly.JavaScript.valueToCode(block, 'value2', Blockly.JavaScript.ORDER_ATOMIC);
  // TODO: Assemble JavaScript into code variable.
  var code = '...';
  // TODO: Change ORDER_NONE to the correct strength.
  return [code, Blockly.JavaScript.ORDER_NONE];
};</t>
    <phoneticPr fontId="1" type="noConversion"/>
  </si>
  <si>
    <t>대종류</t>
    <phoneticPr fontId="1" type="noConversion"/>
  </si>
  <si>
    <t>소종류</t>
    <phoneticPr fontId="1" type="noConversion"/>
  </si>
  <si>
    <t>기능</t>
    <phoneticPr fontId="1" type="noConversion"/>
  </si>
  <si>
    <t>동작</t>
    <phoneticPr fontId="1" type="noConversion"/>
  </si>
  <si>
    <t>종류 byte 앞자리</t>
    <phoneticPr fontId="1" type="noConversion"/>
  </si>
  <si>
    <t>기능 byte 뒷자리</t>
    <phoneticPr fontId="1" type="noConversion"/>
  </si>
  <si>
    <t>byte</t>
    <phoneticPr fontId="1" type="noConversion"/>
  </si>
  <si>
    <t>digital write</t>
    <phoneticPr fontId="1" type="noConversion"/>
  </si>
  <si>
    <t>digital read</t>
    <phoneticPr fontId="1" type="noConversion"/>
  </si>
  <si>
    <t>digital/analog</t>
    <phoneticPr fontId="1" type="noConversion"/>
  </si>
  <si>
    <t>anlog write</t>
    <phoneticPr fontId="1" type="noConversion"/>
  </si>
  <si>
    <t>anlog read</t>
    <phoneticPr fontId="1" type="noConversion"/>
  </si>
  <si>
    <t>버튼에 보이는 숫자</t>
    <phoneticPr fontId="1" type="noConversion"/>
  </si>
  <si>
    <t>형태</t>
    <phoneticPr fontId="1" type="noConversion"/>
  </si>
  <si>
    <t>제어</t>
    <phoneticPr fontId="1" type="noConversion"/>
  </si>
  <si>
    <t>터치 lcd</t>
    <phoneticPr fontId="1" type="noConversion"/>
  </si>
  <si>
    <t>소리 나오기 앱에서 받은 mp3같은거</t>
    <phoneticPr fontId="1" type="noConversion"/>
  </si>
  <si>
    <t xml:space="preserve">초음파 센서 </t>
    <phoneticPr fontId="1" type="noConversion"/>
  </si>
  <si>
    <t>l293d 로 5V 나오게 하는거랑 다른 dc step up 으로 할 수 있는거-&gt; 레벨 쉬프터 , 알리 익스프레스에 찾아보니 하나하나 전부 레귤레이터 꼽아놓음</t>
    <phoneticPr fontId="1" type="noConversion"/>
  </si>
  <si>
    <t>delay</t>
    <phoneticPr fontId="1" type="noConversion"/>
  </si>
  <si>
    <t>infinity loop</t>
    <phoneticPr fontId="1" type="noConversion"/>
  </si>
  <si>
    <t>방송하기</t>
    <phoneticPr fontId="1" type="noConversion"/>
  </si>
  <si>
    <t>방송하고 기다리기</t>
    <phoneticPr fontId="1" type="noConversion"/>
  </si>
  <si>
    <t>방송 받을때</t>
    <phoneticPr fontId="1" type="noConversion"/>
  </si>
  <si>
    <t>if</t>
    <phoneticPr fontId="1" type="noConversion"/>
  </si>
  <si>
    <t>if else</t>
    <phoneticPr fontId="1" type="noConversion"/>
  </si>
  <si>
    <t>└ 위에 꺼 하려고 레벨 쉬프터 MC14504B 사면 될듯함</t>
    <phoneticPr fontId="1" type="noConversion"/>
  </si>
  <si>
    <t>if 센서 신호가 들어올때</t>
    <phoneticPr fontId="1" type="noConversion"/>
  </si>
  <si>
    <t>if 통신 데이터 맞을때</t>
    <phoneticPr fontId="1" type="noConversion"/>
  </si>
  <si>
    <t>for 몇회 반복하기</t>
    <phoneticPr fontId="1" type="noConversion"/>
  </si>
  <si>
    <t>break;</t>
    <phoneticPr fontId="1" type="noConversion"/>
  </si>
  <si>
    <t>연산</t>
    <phoneticPr fontId="1" type="noConversion"/>
  </si>
  <si>
    <t>equal</t>
    <phoneticPr fontId="1" type="noConversion"/>
  </si>
  <si>
    <t>left_bigger</t>
    <phoneticPr fontId="1" type="noConversion"/>
  </si>
  <si>
    <t>right_bigger</t>
    <phoneticPr fontId="1" type="noConversion"/>
  </si>
  <si>
    <t>변수</t>
    <phoneticPr fontId="1" type="noConversion"/>
  </si>
  <si>
    <t>while ~인동안 반복</t>
    <phoneticPr fontId="1" type="noConversion"/>
  </si>
  <si>
    <t>반복 ~까지</t>
    <phoneticPr fontId="1" type="noConversion"/>
  </si>
  <si>
    <t>반복 ~계속확인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</si>
  <si>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</si>
  <si>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</si>
  <si>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</si>
  <si>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</si>
  <si>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그리고</t>
    <phoneticPr fontId="1" type="noConversion"/>
  </si>
  <si>
    <t>또는</t>
    <phoneticPr fontId="1" type="noConversion"/>
  </si>
  <si>
    <t>이가 아니다</t>
    <phoneticPr fontId="1" type="noConversion"/>
  </si>
  <si>
    <t>~ ~ 결합하기</t>
    <phoneticPr fontId="1" type="noConversion"/>
  </si>
  <si>
    <t>~의 ~번째 글자</t>
    <phoneticPr fontId="1" type="noConversion"/>
  </si>
  <si>
    <t>~의 길이</t>
    <phoneticPr fontId="1" type="noConversion"/>
  </si>
  <si>
    <t>~나누기 ~의 나머지</t>
    <phoneticPr fontId="1" type="noConversion"/>
  </si>
  <si>
    <t>~반올림</t>
    <phoneticPr fontId="1" type="noConversion"/>
  </si>
  <si>
    <t>A</t>
    <phoneticPr fontId="1" type="noConversion"/>
  </si>
  <si>
    <t>D</t>
    <phoneticPr fontId="1" type="noConversion"/>
  </si>
  <si>
    <t>~ + ~</t>
    <phoneticPr fontId="1" type="noConversion"/>
  </si>
  <si>
    <t>~ - ~</t>
    <phoneticPr fontId="1" type="noConversion"/>
  </si>
  <si>
    <t>~ * ~</t>
    <phoneticPr fontId="1" type="noConversion"/>
  </si>
  <si>
    <t>~ / ~</t>
    <phoneticPr fontId="1" type="noConversion"/>
  </si>
  <si>
    <t>~부터 ~사이의 난수</t>
    <phoneticPr fontId="1" type="noConversion"/>
  </si>
  <si>
    <t>~의 제곱근, 등등 -&gt; 따로 추가해야 될듯</t>
    <phoneticPr fontId="1" type="noConversion"/>
  </si>
  <si>
    <t>E</t>
    <phoneticPr fontId="1" type="noConversion"/>
  </si>
  <si>
    <t>F</t>
    <phoneticPr fontId="1" type="noConversion"/>
  </si>
  <si>
    <t>code 형태</t>
    <phoneticPr fontId="1" type="noConversion"/>
  </si>
  <si>
    <t>Blockly.JavaScript['equal'] = function(block) {
  var value_value1 = Blockly.JavaScript.valueToCode(block, 'value1', Blockly.JavaScript.ORDER_ATOMIC);
  var value_value2 = Blockly.JavaScript.valueToCode(block, 'value2', Blockly.JavaScript.ORDER_ATOMIC);
  // TODO: Assemble JavaScript into code variable.
  var code = "[3:5,"+value_value1+":"+value_value2+"]";_x000D_
// TODO: Change ORDER_NONE to the correct strength.
  return [code, Blockly.JavaScript.ORDER_NONE];
};</t>
    <phoneticPr fontId="1" type="noConversion"/>
  </si>
  <si>
    <t>Blockly.JavaScript['control_if_start']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"[2:7,"+value_value_input_1+":"+statements_statement_input_1+"]";_x000D_
  return code;
};</t>
    <phoneticPr fontId="1" type="noConversion"/>
  </si>
  <si>
    <t>"[@3#5,"+value_value1+":"+value_value2+"]";</t>
    <phoneticPr fontId="1" type="noConversion"/>
  </si>
  <si>
    <t>int 저장소1</t>
    <phoneticPr fontId="1" type="noConversion"/>
  </si>
  <si>
    <t>int 저장소2</t>
  </si>
  <si>
    <t>int 저장소3</t>
  </si>
  <si>
    <t>int 저장소4</t>
  </si>
  <si>
    <t>int 저장소5</t>
  </si>
  <si>
    <t>int 저장소6</t>
  </si>
  <si>
    <t>int 저장소7</t>
  </si>
  <si>
    <t>int 저장소8</t>
  </si>
  <si>
    <t>int 저장소9</t>
  </si>
  <si>
    <t>int 저장소10</t>
  </si>
  <si>
    <t>int 저장소11</t>
  </si>
  <si>
    <t>int 저장소12</t>
  </si>
  <si>
    <t>int 저장소13</t>
  </si>
  <si>
    <t>int 저장소14</t>
  </si>
  <si>
    <t>int 저장소15</t>
  </si>
  <si>
    <t>int 저장소16</t>
  </si>
  <si>
    <t>String 저장소1</t>
    <phoneticPr fontId="1" type="noConversion"/>
  </si>
  <si>
    <t>String 저장소2</t>
  </si>
  <si>
    <t>String 저장소3</t>
  </si>
  <si>
    <t>String 저장소4</t>
  </si>
  <si>
    <t>String 저장소5</t>
  </si>
  <si>
    <t>String 저장소6</t>
  </si>
  <si>
    <t>String 저장소7</t>
  </si>
  <si>
    <t>String 저장소8</t>
  </si>
  <si>
    <t>String 저장소9</t>
  </si>
  <si>
    <t>String 저장소10</t>
  </si>
  <si>
    <t>String 저장소11</t>
  </si>
  <si>
    <t>String 저장소12</t>
  </si>
  <si>
    <t>String 저장소13</t>
  </si>
  <si>
    <t>String 저장소14</t>
  </si>
  <si>
    <t>String 저장소15</t>
  </si>
  <si>
    <t>String 저장소16</t>
  </si>
  <si>
    <t>"[@2#7,"+value_value_input_1+":"+statements_statement_input_1+"]";</t>
    <phoneticPr fontId="1" type="noConversion"/>
  </si>
  <si>
    <t>"[27,"+~+":"+~+"]";</t>
    <phoneticPr fontId="1" type="noConversion"/>
  </si>
  <si>
    <t>괄호</t>
    <phoneticPr fontId="1" type="noConversion"/>
  </si>
  <si>
    <t>0x00</t>
    <phoneticPr fontId="1" type="noConversion"/>
  </si>
  <si>
    <t>0x01</t>
    <phoneticPr fontId="1" type="noConversion"/>
  </si>
  <si>
    <t>[</t>
    <phoneticPr fontId="1" type="noConversion"/>
  </si>
  <si>
    <t>]</t>
    <phoneticPr fontId="1" type="noConversion"/>
  </si>
  <si>
    <t>중간구분</t>
    <phoneticPr fontId="1" type="noConversion"/>
  </si>
  <si>
    <t>:</t>
    <phoneticPr fontId="1" type="noConversion"/>
  </si>
  <si>
    <t>0x02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</si>
</sst>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2"/>
      <color rgb="FF6A8759"/>
      <name val="굴림체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quotePrefix="1" applyAlignment="1">
      <alignment vertical="center" wrapText="1"/>
    </xf>
    <xf numFmtId="0" fontId="0" fillId="0" borderId="0" xfId="0" quotePrefix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horizontal="righ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85725</xdr:rowOff>
    </xdr:from>
    <xdr:to>
      <xdr:col>1</xdr:col>
      <xdr:colOff>6410325</xdr:colOff>
      <xdr:row>14</xdr:row>
      <xdr:rowOff>200535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85725"/>
          <a:ext cx="7848600" cy="47249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7"/>
  <sheetViews>
    <sheetView topLeftCell="C11" zoomScale="70" zoomScaleNormal="70" workbookViewId="0">
      <selection activeCell="G12" sqref="G12"/>
    </sheetView>
  </sheetViews>
  <sheetFormatPr defaultRowHeight="16.5" x14ac:dyDescent="0.3"/>
  <cols>
    <col min="1" max="1" width="24.25" bestFit="1" customWidth="1"/>
    <col min="2" max="2" width="18.875" customWidth="1"/>
    <col min="3" max="3" width="53.125" customWidth="1"/>
    <col min="4" max="4" width="114.5" customWidth="1"/>
    <col min="5" max="5" width="38" customWidth="1"/>
    <col min="6" max="6" width="35.25" customWidth="1"/>
    <col min="7" max="7" width="28.5" customWidth="1"/>
    <col min="8" max="11" width="28.5" hidden="1" customWidth="1"/>
    <col min="12" max="12" width="47.875" customWidth="1"/>
    <col min="13" max="13" width="41.5" customWidth="1"/>
  </cols>
  <sheetData>
    <row r="1" spans="1:14" x14ac:dyDescent="0.3">
      <c r="A1" t="s">
        <v>0</v>
      </c>
      <c r="B1" t="s">
        <v>1</v>
      </c>
      <c r="C1" t="s">
        <v>2</v>
      </c>
      <c r="D1" t="s">
        <v>8</v>
      </c>
      <c r="E1" t="s">
        <v>16</v>
      </c>
      <c r="F1" t="s">
        <v>14</v>
      </c>
      <c r="G1" t="s">
        <v>15</v>
      </c>
      <c r="H1" t="s">
        <v>39</v>
      </c>
      <c r="I1" t="s">
        <v>40</v>
      </c>
      <c r="J1" t="s">
        <v>41</v>
      </c>
      <c r="K1" t="s">
        <v>42</v>
      </c>
      <c r="L1" t="s">
        <v>17</v>
      </c>
    </row>
    <row r="2" spans="1:14" ht="165" x14ac:dyDescent="0.3">
      <c r="A2" t="s">
        <v>3</v>
      </c>
      <c r="B2" s="1"/>
      <c r="C2" s="1"/>
      <c r="E2" t="e">
        <f>FIND("var code = ",C2)</f>
        <v>#VALUE!</v>
      </c>
      <c r="F2" s="1" t="e">
        <f>LEFT(C2,E2+10)</f>
        <v>#VALUE!</v>
      </c>
      <c r="G2" t="e">
        <f>RIGHT(C2,LEN(C2)-E2-20)</f>
        <v>#VALUE!</v>
      </c>
      <c r="L2" t="s">
        <v>20</v>
      </c>
      <c r="M2" s="3" t="s">
        <v>19</v>
      </c>
      <c r="N2" s="1"/>
    </row>
    <row r="3" spans="1:14" x14ac:dyDescent="0.3">
      <c r="A3" t="s">
        <v>4</v>
      </c>
      <c r="B3" s="1"/>
      <c r="C3" s="1"/>
      <c r="E3" t="e">
        <f t="shared" ref="E3:E17" si="0">FIND("var code = ",C3)</f>
        <v>#VALUE!</v>
      </c>
      <c r="F3" s="1" t="e">
        <f t="shared" ref="F3:F17" si="1">LEFT(C3,E3+10)</f>
        <v>#VALUE!</v>
      </c>
      <c r="G3" t="e">
        <f t="shared" ref="G3:G11" si="2">RIGHT(C3,LEN(C3)-E3-20)</f>
        <v>#VALUE!</v>
      </c>
      <c r="L3" t="s">
        <v>21</v>
      </c>
      <c r="M3" s="1"/>
    </row>
    <row r="4" spans="1:14" x14ac:dyDescent="0.3">
      <c r="A4" t="s">
        <v>5</v>
      </c>
      <c r="B4" s="1"/>
      <c r="C4" s="1"/>
      <c r="E4" t="e">
        <f t="shared" si="0"/>
        <v>#VALUE!</v>
      </c>
      <c r="F4" s="1" t="e">
        <f t="shared" si="1"/>
        <v>#VALUE!</v>
      </c>
      <c r="G4" t="s">
        <v>18</v>
      </c>
      <c r="L4" t="s">
        <v>22</v>
      </c>
      <c r="M4" s="1"/>
    </row>
    <row r="5" spans="1:14" x14ac:dyDescent="0.3">
      <c r="A5" t="s">
        <v>6</v>
      </c>
      <c r="B5" s="1"/>
      <c r="C5" s="1"/>
      <c r="E5" t="e">
        <f t="shared" si="0"/>
        <v>#VALUE!</v>
      </c>
      <c r="F5" s="1" t="e">
        <f t="shared" si="1"/>
        <v>#VALUE!</v>
      </c>
      <c r="G5" t="e">
        <f t="shared" si="2"/>
        <v>#VALUE!</v>
      </c>
      <c r="L5" t="s">
        <v>23</v>
      </c>
      <c r="M5" s="1"/>
    </row>
    <row r="6" spans="1:14" x14ac:dyDescent="0.3">
      <c r="A6" t="s">
        <v>7</v>
      </c>
      <c r="B6" s="1"/>
      <c r="C6" s="1"/>
      <c r="E6" t="e">
        <f t="shared" si="0"/>
        <v>#VALUE!</v>
      </c>
      <c r="F6" s="1" t="e">
        <f t="shared" si="1"/>
        <v>#VALUE!</v>
      </c>
      <c r="G6" t="e">
        <f t="shared" si="2"/>
        <v>#VALUE!</v>
      </c>
      <c r="L6" t="s">
        <v>24</v>
      </c>
    </row>
    <row r="7" spans="1:14" ht="409.5" x14ac:dyDescent="0.3">
      <c r="A7" t="s">
        <v>9</v>
      </c>
      <c r="B7" s="2" t="s">
        <v>51</v>
      </c>
      <c r="C7" s="1" t="s">
        <v>52</v>
      </c>
      <c r="E7">
        <f t="shared" si="0"/>
        <v>331</v>
      </c>
      <c r="F7" s="1" t="str">
        <f t="shared" si="1"/>
        <v xml:space="preserve">Blockly.JavaScript['control_if_start']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</v>
      </c>
      <c r="G7" t="str">
        <f t="shared" si="2"/>
        <v xml:space="preserve">  return code;
};</v>
      </c>
      <c r="L7" t="s">
        <v>160</v>
      </c>
      <c r="M7" s="1" t="s">
        <v>126</v>
      </c>
    </row>
    <row r="8" spans="1:14" ht="409.5" x14ac:dyDescent="0.3">
      <c r="A8" t="s">
        <v>10</v>
      </c>
      <c r="B8" s="1" t="s">
        <v>49</v>
      </c>
      <c r="C8" s="1" t="s">
        <v>50</v>
      </c>
      <c r="E8">
        <f t="shared" si="0"/>
        <v>337</v>
      </c>
      <c r="F8" s="1" t="str">
        <f t="shared" si="1"/>
        <v xml:space="preserve">Blockly.JavaScript['control_iot_data_start']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</v>
      </c>
      <c r="G8" t="str">
        <f t="shared" si="2"/>
        <v xml:space="preserve">  return code;
};</v>
      </c>
      <c r="L8" s="4" t="s">
        <v>31</v>
      </c>
      <c r="M8" s="1" t="s">
        <v>32</v>
      </c>
    </row>
    <row r="9" spans="1:14" ht="409.5" x14ac:dyDescent="0.3">
      <c r="A9" t="s">
        <v>11</v>
      </c>
      <c r="B9" s="1" t="s">
        <v>47</v>
      </c>
      <c r="C9" s="1" t="s">
        <v>48</v>
      </c>
      <c r="E9">
        <f t="shared" si="0"/>
        <v>275</v>
      </c>
      <c r="F9" s="1" t="str">
        <f t="shared" si="1"/>
        <v xml:space="preserve">Blockly.JavaScript['control_times_loop'] = function(block) {
  var number_loop_time = block.getFieldValue('loop_time');
  var statements_statement_input_1 = Blockly.JavaScript.statementToCode(block, 'statement_input_1');
  // TODO: Assemble JavaScript into code variable.
  var code = </v>
      </c>
      <c r="G9" t="str">
        <f t="shared" si="2"/>
        <v xml:space="preserve">  return code;
};</v>
      </c>
      <c r="L9" s="4" t="s">
        <v>34</v>
      </c>
      <c r="M9" s="1" t="s">
        <v>33</v>
      </c>
    </row>
    <row r="10" spans="1:14" ht="409.5" x14ac:dyDescent="0.3">
      <c r="A10" t="s">
        <v>12</v>
      </c>
      <c r="B10" s="1" t="s">
        <v>45</v>
      </c>
      <c r="C10" s="1" t="s">
        <v>46</v>
      </c>
      <c r="E10">
        <f t="shared" si="0"/>
        <v>220</v>
      </c>
      <c r="F10" s="1" t="str">
        <f t="shared" si="1"/>
        <v xml:space="preserve">Blockly.JavaScript['control_unlimited_loop'] = function(block) {
  var statements_statement_input_1 = Blockly.JavaScript.statementToCode(block, 'statement_input_1');
  // TODO: Assemble JavaScript into code variable.
  var code = </v>
      </c>
      <c r="G10" t="str">
        <f t="shared" si="2"/>
        <v xml:space="preserve">  return code;
};</v>
      </c>
      <c r="L10" s="4" t="s">
        <v>35</v>
      </c>
      <c r="M10" s="1" t="s">
        <v>36</v>
      </c>
    </row>
    <row r="11" spans="1:14" ht="409.5" x14ac:dyDescent="0.3">
      <c r="A11" t="s">
        <v>13</v>
      </c>
      <c r="B11" s="1" t="s">
        <v>37</v>
      </c>
      <c r="C11" s="1" t="s">
        <v>38</v>
      </c>
      <c r="E11">
        <f t="shared" si="0"/>
        <v>333</v>
      </c>
      <c r="F11" s="1" t="str">
        <f t="shared" si="1"/>
        <v xml:space="preserve">Blockly.JavaScript['control_while_loop'] = function(block) {
  var value_value_input_1 = Blockly.JavaScript.valueToCode(block, 'value_input_1', Blockly.JavaScript.ORDER_ATOMIC);
  var statements_statement_input_1 = Blockly.JavaScript.statementToCode(block, 'statement_input_1');
  // TODO: Assemble JavaScript into code variable.
  var code = </v>
      </c>
      <c r="G11" t="str">
        <f t="shared" si="2"/>
        <v xml:space="preserve">  return code;
};</v>
      </c>
      <c r="H11" t="str">
        <f>MID(F11,FIND("var ",F11)+4,FIND("=",MID(F11,FIND("var ",F11),40))-6)</f>
        <v>value_value_input_1</v>
      </c>
      <c r="L11" s="4" t="s">
        <v>43</v>
      </c>
      <c r="M11" s="1" t="s">
        <v>44</v>
      </c>
    </row>
    <row r="12" spans="1:14" ht="409.5" x14ac:dyDescent="0.3">
      <c r="A12" t="s">
        <v>25</v>
      </c>
      <c r="B12" s="1" t="s">
        <v>61</v>
      </c>
      <c r="C12" s="1" t="s">
        <v>62</v>
      </c>
      <c r="E12">
        <f t="shared" si="0"/>
        <v>308</v>
      </c>
      <c r="F12" s="1" t="str">
        <f t="shared" si="1"/>
        <v xml:space="preserve">Blockly.JavaScript['equal'] = function(block) {
  var value_value1 = Blockly.JavaScript.valueToCode(block, 'value1', Blockly.JavaScript.ORDER_ATOMIC);
  var value_value2 = Blockly.JavaScript.valueToCode(block, 'value2', Blockly.JavaScript.ORDER_ATOMIC);
  // TODO: Assemble JavaScript into code variable.
  var code = </v>
      </c>
      <c r="G12" t="str">
        <f>RIGHT(C12,LEN(C12)-E12-19)</f>
        <v>// TODO: Change ORDER_NONE to the correct strength.
  return [code, Blockly.JavaScript.ORDER_NONE];
};</v>
      </c>
      <c r="L12" t="s">
        <v>127</v>
      </c>
      <c r="M12" s="1" t="s">
        <v>125</v>
      </c>
    </row>
    <row r="13" spans="1:14" x14ac:dyDescent="0.3">
      <c r="A13" t="s">
        <v>26</v>
      </c>
      <c r="B13" s="1"/>
      <c r="C13" s="1"/>
      <c r="E13" t="e">
        <f t="shared" si="0"/>
        <v>#VALUE!</v>
      </c>
      <c r="F13" s="1" t="e">
        <f t="shared" si="1"/>
        <v>#VALUE!</v>
      </c>
      <c r="G13" t="e">
        <f>RIGHT(C13,LEN(C13)-E13-19)</f>
        <v>#VALUE!</v>
      </c>
    </row>
    <row r="14" spans="1:14" x14ac:dyDescent="0.3">
      <c r="A14" t="s">
        <v>27</v>
      </c>
      <c r="B14" s="1"/>
      <c r="C14" s="1"/>
      <c r="E14" t="e">
        <f t="shared" si="0"/>
        <v>#VALUE!</v>
      </c>
      <c r="F14" s="1" t="e">
        <f t="shared" si="1"/>
        <v>#VALUE!</v>
      </c>
      <c r="G14" t="e">
        <f>RIGHT(C14,LEN(C14)-E14-19)</f>
        <v>#VALUE!</v>
      </c>
    </row>
    <row r="15" spans="1:14" x14ac:dyDescent="0.3">
      <c r="A15" t="s">
        <v>28</v>
      </c>
      <c r="B15" s="1"/>
      <c r="C15" s="1"/>
      <c r="E15" t="e">
        <f t="shared" si="0"/>
        <v>#VALUE!</v>
      </c>
      <c r="F15" s="1" t="e">
        <f t="shared" si="1"/>
        <v>#VALUE!</v>
      </c>
    </row>
    <row r="16" spans="1:14" x14ac:dyDescent="0.3">
      <c r="A16" t="s">
        <v>29</v>
      </c>
      <c r="B16" s="1"/>
      <c r="C16" s="1"/>
      <c r="E16" t="e">
        <f t="shared" si="0"/>
        <v>#VALUE!</v>
      </c>
      <c r="F16" s="1" t="e">
        <f t="shared" si="1"/>
        <v>#VALUE!</v>
      </c>
    </row>
    <row r="17" spans="1:6" x14ac:dyDescent="0.3">
      <c r="A17" t="s">
        <v>30</v>
      </c>
      <c r="B17" s="1"/>
      <c r="C17" s="1"/>
      <c r="E17" t="e">
        <f t="shared" si="0"/>
        <v>#VALUE!</v>
      </c>
      <c r="F17" s="1" t="e">
        <f t="shared" si="1"/>
        <v>#VALUE!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"/>
  <sheetViews>
    <sheetView workbookViewId="0">
      <selection activeCell="B29" sqref="B29"/>
    </sheetView>
  </sheetViews>
  <sheetFormatPr defaultRowHeight="16.5" x14ac:dyDescent="0.3"/>
  <cols>
    <col min="1" max="1" width="20.5" bestFit="1" customWidth="1"/>
    <col min="2" max="2" width="84.625" customWidth="1"/>
    <col min="3" max="3" width="78" customWidth="1"/>
  </cols>
  <sheetData>
    <row r="1" spans="1:5" x14ac:dyDescent="0.3">
      <c r="B1" s="1"/>
      <c r="C1" s="1" t="s">
        <v>54</v>
      </c>
      <c r="D1" t="s">
        <v>55</v>
      </c>
      <c r="E1" t="s">
        <v>56</v>
      </c>
    </row>
    <row r="2" spans="1:5" ht="148.5" x14ac:dyDescent="0.3">
      <c r="A2" s="5"/>
      <c r="B2" s="1"/>
      <c r="C2" s="1" t="s">
        <v>53</v>
      </c>
      <c r="D2">
        <f>LEN(C2)-LEN(SUBSTITUTE(C2,"{",""))</f>
        <v>6</v>
      </c>
      <c r="E2">
        <f>LEN(C2)-LEN(SUBSTITUTE(C2,"}",""))</f>
        <v>6</v>
      </c>
    </row>
    <row r="4" spans="1:5" x14ac:dyDescent="0.3">
      <c r="C4" t="s">
        <v>57</v>
      </c>
    </row>
    <row r="5" spans="1:5" x14ac:dyDescent="0.3">
      <c r="C5" t="s">
        <v>58</v>
      </c>
    </row>
    <row r="6" spans="1:5" x14ac:dyDescent="0.3">
      <c r="C6" t="s">
        <v>59</v>
      </c>
    </row>
    <row r="7" spans="1:5" x14ac:dyDescent="0.3">
      <c r="C7" t="s">
        <v>60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3"/>
  <sheetViews>
    <sheetView tabSelected="1" topLeftCell="A25" workbookViewId="0">
      <selection activeCell="I54" sqref="I54"/>
    </sheetView>
  </sheetViews>
  <sheetFormatPr defaultRowHeight="16.5" x14ac:dyDescent="0.3"/>
  <cols>
    <col min="2" max="2" width="13.875" bestFit="1" customWidth="1"/>
    <col min="3" max="3" width="16.375" bestFit="1" customWidth="1"/>
    <col min="4" max="4" width="11.75" bestFit="1" customWidth="1"/>
    <col min="5" max="5" width="16.375" style="6" bestFit="1" customWidth="1"/>
  </cols>
  <sheetData>
    <row r="1" spans="1:7" x14ac:dyDescent="0.3">
      <c r="A1" t="s">
        <v>63</v>
      </c>
      <c r="B1" t="s">
        <v>64</v>
      </c>
      <c r="C1" t="s">
        <v>67</v>
      </c>
      <c r="D1" t="s">
        <v>65</v>
      </c>
      <c r="E1" s="6" t="s">
        <v>68</v>
      </c>
      <c r="F1" t="s">
        <v>69</v>
      </c>
      <c r="G1" t="s">
        <v>124</v>
      </c>
    </row>
    <row r="2" spans="1:7" x14ac:dyDescent="0.3">
      <c r="A2" t="s">
        <v>162</v>
      </c>
      <c r="B2" t="s">
        <v>165</v>
      </c>
      <c r="C2">
        <v>0</v>
      </c>
      <c r="E2" s="6">
        <v>0</v>
      </c>
      <c r="F2" t="s">
        <v>163</v>
      </c>
    </row>
    <row r="3" spans="1:7" x14ac:dyDescent="0.3">
      <c r="B3" t="s">
        <v>166</v>
      </c>
      <c r="C3">
        <v>0</v>
      </c>
      <c r="E3" s="6">
        <v>1</v>
      </c>
      <c r="F3" t="s">
        <v>164</v>
      </c>
    </row>
    <row r="4" spans="1:7" x14ac:dyDescent="0.3">
      <c r="A4" t="s">
        <v>167</v>
      </c>
      <c r="B4" t="s">
        <v>168</v>
      </c>
      <c r="E4" s="6">
        <v>2</v>
      </c>
      <c r="F4" t="s">
        <v>169</v>
      </c>
    </row>
    <row r="5" spans="1:7" x14ac:dyDescent="0.3">
      <c r="A5" t="s">
        <v>66</v>
      </c>
      <c r="B5" t="s">
        <v>72</v>
      </c>
      <c r="C5">
        <v>1</v>
      </c>
      <c r="D5" t="s">
        <v>70</v>
      </c>
      <c r="E5" s="6">
        <v>0</v>
      </c>
      <c r="F5" t="str">
        <f>"0x"&amp;C5&amp;E5</f>
        <v>0x10</v>
      </c>
    </row>
    <row r="6" spans="1:7" x14ac:dyDescent="0.3">
      <c r="C6">
        <v>1</v>
      </c>
      <c r="D6" t="s">
        <v>71</v>
      </c>
      <c r="E6" s="6">
        <v>1</v>
      </c>
      <c r="F6" t="str">
        <f t="shared" ref="F6:F7" si="0">"0x"&amp;C6&amp;E6</f>
        <v>0x11</v>
      </c>
    </row>
    <row r="7" spans="1:7" x14ac:dyDescent="0.3">
      <c r="C7">
        <v>1</v>
      </c>
      <c r="D7" t="s">
        <v>73</v>
      </c>
      <c r="E7" s="6">
        <v>2</v>
      </c>
      <c r="F7" t="str">
        <f t="shared" si="0"/>
        <v>0x12</v>
      </c>
    </row>
    <row r="8" spans="1:7" x14ac:dyDescent="0.3">
      <c r="C8">
        <v>1</v>
      </c>
      <c r="D8" t="s">
        <v>74</v>
      </c>
      <c r="E8" s="6">
        <v>3</v>
      </c>
      <c r="F8" t="str">
        <f>IF(E8="","","0x"&amp;C8&amp;E8)</f>
        <v>0x13</v>
      </c>
    </row>
    <row r="9" spans="1:7" x14ac:dyDescent="0.3">
      <c r="F9" t="str">
        <f>IF(E9="","","0x"&amp;C9&amp;E9)</f>
        <v/>
      </c>
    </row>
    <row r="10" spans="1:7" x14ac:dyDescent="0.3">
      <c r="A10" t="s">
        <v>76</v>
      </c>
      <c r="B10" t="s">
        <v>75</v>
      </c>
      <c r="F10" t="str">
        <f>IF(E10="","","0x"&amp;C10&amp;E10)</f>
        <v/>
      </c>
    </row>
    <row r="11" spans="1:7" x14ac:dyDescent="0.3">
      <c r="F11" t="str">
        <f t="shared" ref="F11:F71" si="1">IF(E11="","","0x"&amp;C11&amp;E11)</f>
        <v/>
      </c>
    </row>
    <row r="12" spans="1:7" x14ac:dyDescent="0.3">
      <c r="F12" t="str">
        <f t="shared" si="1"/>
        <v/>
      </c>
    </row>
    <row r="13" spans="1:7" x14ac:dyDescent="0.3">
      <c r="F13" t="str">
        <f t="shared" si="1"/>
        <v/>
      </c>
    </row>
    <row r="14" spans="1:7" x14ac:dyDescent="0.3">
      <c r="F14" t="str">
        <f t="shared" si="1"/>
        <v/>
      </c>
    </row>
    <row r="15" spans="1:7" x14ac:dyDescent="0.3">
      <c r="F15" t="str">
        <f t="shared" si="1"/>
        <v/>
      </c>
    </row>
    <row r="16" spans="1:7" x14ac:dyDescent="0.3">
      <c r="A16" t="s">
        <v>77</v>
      </c>
      <c r="B16" t="s">
        <v>82</v>
      </c>
      <c r="C16">
        <v>2</v>
      </c>
      <c r="E16" s="6">
        <v>0</v>
      </c>
      <c r="F16" t="str">
        <f t="shared" si="1"/>
        <v>0x20</v>
      </c>
    </row>
    <row r="17" spans="1:7" x14ac:dyDescent="0.3">
      <c r="B17" t="s">
        <v>83</v>
      </c>
      <c r="C17">
        <v>2</v>
      </c>
      <c r="E17" s="6">
        <v>1</v>
      </c>
      <c r="F17" t="str">
        <f t="shared" si="1"/>
        <v>0x21</v>
      </c>
    </row>
    <row r="18" spans="1:7" x14ac:dyDescent="0.3">
      <c r="B18" t="s">
        <v>99</v>
      </c>
      <c r="C18">
        <v>2</v>
      </c>
      <c r="E18" s="6">
        <v>2</v>
      </c>
      <c r="F18" t="str">
        <f t="shared" si="1"/>
        <v>0x22</v>
      </c>
    </row>
    <row r="19" spans="1:7" x14ac:dyDescent="0.3">
      <c r="B19" t="s">
        <v>92</v>
      </c>
      <c r="C19">
        <v>2</v>
      </c>
      <c r="E19" s="6">
        <v>3</v>
      </c>
      <c r="F19" t="str">
        <f t="shared" si="1"/>
        <v>0x23</v>
      </c>
    </row>
    <row r="20" spans="1:7" x14ac:dyDescent="0.3">
      <c r="B20" t="s">
        <v>100</v>
      </c>
      <c r="C20">
        <v>2</v>
      </c>
      <c r="E20" s="6">
        <v>4</v>
      </c>
      <c r="F20" t="str">
        <f t="shared" si="1"/>
        <v>0x24</v>
      </c>
    </row>
    <row r="21" spans="1:7" x14ac:dyDescent="0.3">
      <c r="B21" t="s">
        <v>101</v>
      </c>
      <c r="C21">
        <v>2</v>
      </c>
      <c r="E21" s="6">
        <v>5</v>
      </c>
      <c r="F21" t="str">
        <f t="shared" si="1"/>
        <v>0x25</v>
      </c>
    </row>
    <row r="22" spans="1:7" x14ac:dyDescent="0.3">
      <c r="B22" t="s">
        <v>93</v>
      </c>
      <c r="C22">
        <v>2</v>
      </c>
      <c r="E22" s="6">
        <v>6</v>
      </c>
      <c r="F22" t="str">
        <f t="shared" si="1"/>
        <v>0x26</v>
      </c>
    </row>
    <row r="23" spans="1:7" x14ac:dyDescent="0.3">
      <c r="B23" t="s">
        <v>87</v>
      </c>
      <c r="C23">
        <v>2</v>
      </c>
      <c r="E23" s="6">
        <v>7</v>
      </c>
      <c r="F23" t="str">
        <f t="shared" si="1"/>
        <v>0x27</v>
      </c>
      <c r="G23" t="s">
        <v>161</v>
      </c>
    </row>
    <row r="24" spans="1:7" x14ac:dyDescent="0.3">
      <c r="B24" t="s">
        <v>88</v>
      </c>
      <c r="C24">
        <v>2</v>
      </c>
      <c r="E24" s="6">
        <v>8</v>
      </c>
      <c r="F24" t="str">
        <f t="shared" si="1"/>
        <v>0x28</v>
      </c>
    </row>
    <row r="25" spans="1:7" x14ac:dyDescent="0.3">
      <c r="B25" t="s">
        <v>90</v>
      </c>
      <c r="C25">
        <v>2</v>
      </c>
      <c r="E25" s="6">
        <v>9</v>
      </c>
      <c r="F25" t="str">
        <f t="shared" si="1"/>
        <v>0x29</v>
      </c>
    </row>
    <row r="26" spans="1:7" x14ac:dyDescent="0.3">
      <c r="B26" t="s">
        <v>91</v>
      </c>
      <c r="C26">
        <v>2</v>
      </c>
      <c r="E26" s="6" t="s">
        <v>102</v>
      </c>
      <c r="F26" t="str">
        <f t="shared" si="1"/>
        <v>0x2A</v>
      </c>
    </row>
    <row r="27" spans="1:7" x14ac:dyDescent="0.3">
      <c r="B27" t="s">
        <v>84</v>
      </c>
      <c r="C27">
        <v>2</v>
      </c>
      <c r="E27" s="6" t="s">
        <v>103</v>
      </c>
      <c r="F27" t="str">
        <f t="shared" si="1"/>
        <v>0x2B</v>
      </c>
    </row>
    <row r="28" spans="1:7" x14ac:dyDescent="0.3">
      <c r="B28" t="s">
        <v>85</v>
      </c>
      <c r="C28">
        <v>2</v>
      </c>
      <c r="E28" s="6" t="s">
        <v>104</v>
      </c>
      <c r="F28" t="str">
        <f t="shared" si="1"/>
        <v>0x2C</v>
      </c>
    </row>
    <row r="29" spans="1:7" x14ac:dyDescent="0.3">
      <c r="B29" t="s">
        <v>86</v>
      </c>
      <c r="C29">
        <v>2</v>
      </c>
      <c r="E29" s="6" t="s">
        <v>105</v>
      </c>
      <c r="F29" t="str">
        <f t="shared" si="1"/>
        <v>0x2D</v>
      </c>
    </row>
    <row r="30" spans="1:7" x14ac:dyDescent="0.3">
      <c r="F30" t="str">
        <f t="shared" si="1"/>
        <v/>
      </c>
    </row>
    <row r="31" spans="1:7" x14ac:dyDescent="0.3">
      <c r="A31" t="s">
        <v>94</v>
      </c>
      <c r="B31" t="s">
        <v>116</v>
      </c>
      <c r="C31">
        <v>3</v>
      </c>
      <c r="E31" s="6">
        <v>0</v>
      </c>
      <c r="F31" t="str">
        <f t="shared" si="1"/>
        <v>0x30</v>
      </c>
    </row>
    <row r="32" spans="1:7" x14ac:dyDescent="0.3">
      <c r="B32" t="s">
        <v>117</v>
      </c>
      <c r="C32">
        <v>3</v>
      </c>
      <c r="E32" s="6">
        <v>1</v>
      </c>
      <c r="F32" t="str">
        <f t="shared" si="1"/>
        <v>0x31</v>
      </c>
    </row>
    <row r="33" spans="2:9" x14ac:dyDescent="0.3">
      <c r="B33" t="s">
        <v>118</v>
      </c>
      <c r="C33">
        <v>3</v>
      </c>
      <c r="E33" s="6">
        <v>2</v>
      </c>
      <c r="F33" t="str">
        <f t="shared" si="1"/>
        <v>0x32</v>
      </c>
    </row>
    <row r="34" spans="2:9" x14ac:dyDescent="0.3">
      <c r="B34" t="s">
        <v>119</v>
      </c>
      <c r="C34">
        <v>3</v>
      </c>
      <c r="E34" s="6">
        <v>3</v>
      </c>
      <c r="F34" t="str">
        <f t="shared" si="1"/>
        <v>0x33</v>
      </c>
    </row>
    <row r="35" spans="2:9" x14ac:dyDescent="0.3">
      <c r="B35" t="s">
        <v>120</v>
      </c>
      <c r="C35">
        <v>3</v>
      </c>
      <c r="E35" s="6">
        <v>4</v>
      </c>
      <c r="F35" t="str">
        <f t="shared" si="1"/>
        <v>0x34</v>
      </c>
    </row>
    <row r="36" spans="2:9" x14ac:dyDescent="0.3">
      <c r="B36" t="s">
        <v>95</v>
      </c>
      <c r="C36">
        <v>3</v>
      </c>
      <c r="E36" s="6">
        <v>5</v>
      </c>
      <c r="F36" t="str">
        <f t="shared" si="1"/>
        <v>0x35</v>
      </c>
      <c r="G36" t="s">
        <v>127</v>
      </c>
    </row>
    <row r="37" spans="2:9" x14ac:dyDescent="0.3">
      <c r="B37" t="s">
        <v>96</v>
      </c>
      <c r="C37">
        <v>3</v>
      </c>
      <c r="E37" s="6">
        <v>6</v>
      </c>
      <c r="F37" t="str">
        <f t="shared" si="1"/>
        <v>0x36</v>
      </c>
    </row>
    <row r="38" spans="2:9" x14ac:dyDescent="0.3">
      <c r="B38" t="s">
        <v>97</v>
      </c>
      <c r="C38">
        <v>3</v>
      </c>
      <c r="E38" s="6">
        <v>7</v>
      </c>
      <c r="F38" t="str">
        <f t="shared" si="1"/>
        <v>0x37</v>
      </c>
    </row>
    <row r="39" spans="2:9" x14ac:dyDescent="0.3">
      <c r="B39" t="s">
        <v>106</v>
      </c>
      <c r="C39">
        <v>3</v>
      </c>
      <c r="E39" s="6">
        <v>8</v>
      </c>
      <c r="F39" t="str">
        <f t="shared" si="1"/>
        <v>0x38</v>
      </c>
    </row>
    <row r="40" spans="2:9" x14ac:dyDescent="0.3">
      <c r="B40" t="s">
        <v>107</v>
      </c>
      <c r="C40">
        <v>3</v>
      </c>
      <c r="E40" s="6">
        <v>9</v>
      </c>
      <c r="F40" t="str">
        <f t="shared" si="1"/>
        <v>0x39</v>
      </c>
    </row>
    <row r="41" spans="2:9" x14ac:dyDescent="0.3">
      <c r="B41" t="s">
        <v>108</v>
      </c>
      <c r="C41">
        <v>3</v>
      </c>
      <c r="E41" s="6" t="s">
        <v>114</v>
      </c>
      <c r="F41" t="str">
        <f t="shared" si="1"/>
        <v>0x3A</v>
      </c>
    </row>
    <row r="42" spans="2:9" x14ac:dyDescent="0.3">
      <c r="B42" t="s">
        <v>109</v>
      </c>
      <c r="C42">
        <v>3</v>
      </c>
      <c r="E42" s="6" t="s">
        <v>103</v>
      </c>
      <c r="F42" t="str">
        <f t="shared" si="1"/>
        <v>0x3B</v>
      </c>
    </row>
    <row r="43" spans="2:9" x14ac:dyDescent="0.3">
      <c r="B43" t="s">
        <v>110</v>
      </c>
      <c r="C43">
        <v>3</v>
      </c>
      <c r="E43" s="6" t="s">
        <v>104</v>
      </c>
      <c r="F43" t="str">
        <f t="shared" si="1"/>
        <v>0x3C</v>
      </c>
    </row>
    <row r="44" spans="2:9" x14ac:dyDescent="0.3">
      <c r="B44" t="s">
        <v>111</v>
      </c>
      <c r="C44">
        <v>3</v>
      </c>
      <c r="E44" s="6" t="s">
        <v>115</v>
      </c>
      <c r="F44" t="str">
        <f t="shared" si="1"/>
        <v>0x3D</v>
      </c>
    </row>
    <row r="45" spans="2:9" x14ac:dyDescent="0.3">
      <c r="B45" t="s">
        <v>112</v>
      </c>
      <c r="C45">
        <v>3</v>
      </c>
      <c r="E45" s="6" t="s">
        <v>122</v>
      </c>
      <c r="F45" t="str">
        <f t="shared" si="1"/>
        <v>0x3E</v>
      </c>
      <c r="I45">
        <v>1010</v>
      </c>
    </row>
    <row r="46" spans="2:9" x14ac:dyDescent="0.3">
      <c r="B46" t="s">
        <v>113</v>
      </c>
      <c r="C46">
        <v>3</v>
      </c>
      <c r="E46" s="6" t="s">
        <v>123</v>
      </c>
      <c r="F46" t="str">
        <f t="shared" si="1"/>
        <v>0x3F</v>
      </c>
    </row>
    <row r="47" spans="2:9" x14ac:dyDescent="0.3">
      <c r="F47" t="str">
        <f>IF(E47="","","0x"&amp;C46&amp;E47)</f>
        <v/>
      </c>
    </row>
    <row r="48" spans="2:9" x14ac:dyDescent="0.3">
      <c r="B48" t="s">
        <v>121</v>
      </c>
      <c r="F48" t="str">
        <f t="shared" si="1"/>
        <v/>
      </c>
    </row>
    <row r="49" spans="1:6" x14ac:dyDescent="0.3">
      <c r="F49" t="str">
        <f t="shared" si="1"/>
        <v/>
      </c>
    </row>
    <row r="50" spans="1:6" x14ac:dyDescent="0.3">
      <c r="F50" t="str">
        <f t="shared" si="1"/>
        <v/>
      </c>
    </row>
    <row r="51" spans="1:6" x14ac:dyDescent="0.3">
      <c r="F51" t="str">
        <f t="shared" si="1"/>
        <v/>
      </c>
    </row>
    <row r="52" spans="1:6" x14ac:dyDescent="0.3">
      <c r="A52" t="s">
        <v>98</v>
      </c>
      <c r="B52" t="s">
        <v>128</v>
      </c>
      <c r="C52">
        <v>7</v>
      </c>
      <c r="E52" s="6">
        <v>0</v>
      </c>
      <c r="F52" t="str">
        <f t="shared" si="1"/>
        <v>0x70</v>
      </c>
    </row>
    <row r="53" spans="1:6" x14ac:dyDescent="0.3">
      <c r="B53" t="s">
        <v>129</v>
      </c>
      <c r="C53">
        <v>7</v>
      </c>
      <c r="E53" s="6">
        <v>1</v>
      </c>
      <c r="F53" t="str">
        <f t="shared" si="1"/>
        <v>0x71</v>
      </c>
    </row>
    <row r="54" spans="1:6" x14ac:dyDescent="0.3">
      <c r="B54" t="s">
        <v>130</v>
      </c>
      <c r="C54">
        <v>7</v>
      </c>
      <c r="E54" s="6">
        <v>2</v>
      </c>
      <c r="F54" t="str">
        <f t="shared" si="1"/>
        <v>0x72</v>
      </c>
    </row>
    <row r="55" spans="1:6" x14ac:dyDescent="0.3">
      <c r="B55" t="s">
        <v>131</v>
      </c>
      <c r="C55">
        <v>7</v>
      </c>
      <c r="E55" s="6">
        <v>3</v>
      </c>
      <c r="F55" t="str">
        <f t="shared" si="1"/>
        <v>0x73</v>
      </c>
    </row>
    <row r="56" spans="1:6" x14ac:dyDescent="0.3">
      <c r="B56" t="s">
        <v>132</v>
      </c>
      <c r="C56">
        <v>7</v>
      </c>
      <c r="E56" s="6">
        <v>4</v>
      </c>
      <c r="F56" t="str">
        <f t="shared" si="1"/>
        <v>0x74</v>
      </c>
    </row>
    <row r="57" spans="1:6" x14ac:dyDescent="0.3">
      <c r="B57" t="s">
        <v>133</v>
      </c>
      <c r="C57">
        <v>7</v>
      </c>
      <c r="E57" s="6">
        <v>5</v>
      </c>
      <c r="F57" t="str">
        <f t="shared" si="1"/>
        <v>0x75</v>
      </c>
    </row>
    <row r="58" spans="1:6" x14ac:dyDescent="0.3">
      <c r="B58" t="s">
        <v>134</v>
      </c>
      <c r="C58">
        <v>7</v>
      </c>
      <c r="E58" s="6">
        <v>6</v>
      </c>
      <c r="F58" t="str">
        <f t="shared" si="1"/>
        <v>0x76</v>
      </c>
    </row>
    <row r="59" spans="1:6" x14ac:dyDescent="0.3">
      <c r="B59" t="s">
        <v>135</v>
      </c>
      <c r="C59">
        <v>7</v>
      </c>
      <c r="E59" s="6">
        <v>7</v>
      </c>
      <c r="F59" t="str">
        <f t="shared" si="1"/>
        <v>0x77</v>
      </c>
    </row>
    <row r="60" spans="1:6" x14ac:dyDescent="0.3">
      <c r="B60" t="s">
        <v>136</v>
      </c>
      <c r="C60">
        <v>7</v>
      </c>
      <c r="E60" s="6">
        <v>8</v>
      </c>
      <c r="F60" t="str">
        <f t="shared" si="1"/>
        <v>0x78</v>
      </c>
    </row>
    <row r="61" spans="1:6" x14ac:dyDescent="0.3">
      <c r="B61" t="s">
        <v>137</v>
      </c>
      <c r="C61">
        <v>7</v>
      </c>
      <c r="E61" s="6">
        <v>9</v>
      </c>
      <c r="F61" t="str">
        <f t="shared" si="1"/>
        <v>0x79</v>
      </c>
    </row>
    <row r="62" spans="1:6" x14ac:dyDescent="0.3">
      <c r="B62" t="s">
        <v>138</v>
      </c>
      <c r="C62">
        <v>7</v>
      </c>
      <c r="E62" s="6" t="s">
        <v>114</v>
      </c>
      <c r="F62" t="str">
        <f t="shared" si="1"/>
        <v>0x7A</v>
      </c>
    </row>
    <row r="63" spans="1:6" x14ac:dyDescent="0.3">
      <c r="B63" t="s">
        <v>139</v>
      </c>
      <c r="C63">
        <v>7</v>
      </c>
      <c r="E63" s="6" t="s">
        <v>103</v>
      </c>
      <c r="F63" t="str">
        <f t="shared" si="1"/>
        <v>0x7B</v>
      </c>
    </row>
    <row r="64" spans="1:6" x14ac:dyDescent="0.3">
      <c r="B64" t="s">
        <v>140</v>
      </c>
      <c r="C64">
        <v>7</v>
      </c>
      <c r="E64" s="6" t="s">
        <v>104</v>
      </c>
      <c r="F64" t="str">
        <f t="shared" si="1"/>
        <v>0x7C</v>
      </c>
    </row>
    <row r="65" spans="2:6" x14ac:dyDescent="0.3">
      <c r="B65" t="s">
        <v>141</v>
      </c>
      <c r="C65">
        <v>7</v>
      </c>
      <c r="E65" s="6" t="s">
        <v>115</v>
      </c>
      <c r="F65" t="str">
        <f t="shared" si="1"/>
        <v>0x7D</v>
      </c>
    </row>
    <row r="66" spans="2:6" x14ac:dyDescent="0.3">
      <c r="B66" t="s">
        <v>142</v>
      </c>
      <c r="C66">
        <v>7</v>
      </c>
      <c r="E66" s="6" t="s">
        <v>122</v>
      </c>
      <c r="F66" t="str">
        <f t="shared" si="1"/>
        <v>0x7E</v>
      </c>
    </row>
    <row r="67" spans="2:6" x14ac:dyDescent="0.3">
      <c r="B67" t="s">
        <v>143</v>
      </c>
      <c r="C67">
        <v>7</v>
      </c>
      <c r="E67" s="6" t="s">
        <v>123</v>
      </c>
      <c r="F67" t="str">
        <f t="shared" si="1"/>
        <v>0x7F</v>
      </c>
    </row>
    <row r="68" spans="2:6" x14ac:dyDescent="0.3">
      <c r="B68" t="s">
        <v>144</v>
      </c>
      <c r="C68">
        <v>8</v>
      </c>
      <c r="E68" s="6">
        <v>0</v>
      </c>
      <c r="F68" t="str">
        <f t="shared" si="1"/>
        <v>0x80</v>
      </c>
    </row>
    <row r="69" spans="2:6" x14ac:dyDescent="0.3">
      <c r="B69" t="s">
        <v>145</v>
      </c>
      <c r="C69">
        <v>8</v>
      </c>
      <c r="E69" s="6">
        <v>1</v>
      </c>
      <c r="F69" t="str">
        <f t="shared" si="1"/>
        <v>0x81</v>
      </c>
    </row>
    <row r="70" spans="2:6" x14ac:dyDescent="0.3">
      <c r="B70" t="s">
        <v>146</v>
      </c>
      <c r="C70">
        <v>8</v>
      </c>
      <c r="E70" s="6">
        <v>2</v>
      </c>
      <c r="F70" t="str">
        <f t="shared" si="1"/>
        <v>0x82</v>
      </c>
    </row>
    <row r="71" spans="2:6" x14ac:dyDescent="0.3">
      <c r="B71" t="s">
        <v>147</v>
      </c>
      <c r="C71">
        <v>8</v>
      </c>
      <c r="E71" s="6">
        <v>3</v>
      </c>
      <c r="F71" t="str">
        <f t="shared" si="1"/>
        <v>0x83</v>
      </c>
    </row>
    <row r="72" spans="2:6" x14ac:dyDescent="0.3">
      <c r="B72" t="s">
        <v>148</v>
      </c>
      <c r="C72">
        <v>8</v>
      </c>
      <c r="E72" s="6">
        <v>4</v>
      </c>
      <c r="F72" t="str">
        <f t="shared" ref="F72:F83" si="2">IF(E72="","","0x"&amp;C72&amp;E72)</f>
        <v>0x84</v>
      </c>
    </row>
    <row r="73" spans="2:6" x14ac:dyDescent="0.3">
      <c r="B73" t="s">
        <v>149</v>
      </c>
      <c r="C73">
        <v>8</v>
      </c>
      <c r="E73" s="6">
        <v>5</v>
      </c>
      <c r="F73" t="str">
        <f t="shared" si="2"/>
        <v>0x85</v>
      </c>
    </row>
    <row r="74" spans="2:6" x14ac:dyDescent="0.3">
      <c r="B74" t="s">
        <v>150</v>
      </c>
      <c r="C74">
        <v>8</v>
      </c>
      <c r="E74" s="6">
        <v>6</v>
      </c>
      <c r="F74" t="str">
        <f t="shared" si="2"/>
        <v>0x86</v>
      </c>
    </row>
    <row r="75" spans="2:6" x14ac:dyDescent="0.3">
      <c r="B75" t="s">
        <v>151</v>
      </c>
      <c r="C75">
        <v>8</v>
      </c>
      <c r="E75" s="6">
        <v>7</v>
      </c>
      <c r="F75" t="str">
        <f t="shared" si="2"/>
        <v>0x87</v>
      </c>
    </row>
    <row r="76" spans="2:6" x14ac:dyDescent="0.3">
      <c r="B76" t="s">
        <v>152</v>
      </c>
      <c r="C76">
        <v>8</v>
      </c>
      <c r="E76" s="6">
        <v>8</v>
      </c>
      <c r="F76" t="str">
        <f t="shared" si="2"/>
        <v>0x88</v>
      </c>
    </row>
    <row r="77" spans="2:6" x14ac:dyDescent="0.3">
      <c r="B77" t="s">
        <v>153</v>
      </c>
      <c r="C77">
        <v>8</v>
      </c>
      <c r="E77" s="6">
        <v>9</v>
      </c>
      <c r="F77" t="str">
        <f t="shared" si="2"/>
        <v>0x89</v>
      </c>
    </row>
    <row r="78" spans="2:6" x14ac:dyDescent="0.3">
      <c r="B78" t="s">
        <v>154</v>
      </c>
      <c r="C78">
        <v>8</v>
      </c>
      <c r="E78" s="6" t="s">
        <v>114</v>
      </c>
      <c r="F78" t="str">
        <f t="shared" si="2"/>
        <v>0x8A</v>
      </c>
    </row>
    <row r="79" spans="2:6" x14ac:dyDescent="0.3">
      <c r="B79" t="s">
        <v>155</v>
      </c>
      <c r="C79">
        <v>8</v>
      </c>
      <c r="E79" s="6" t="s">
        <v>103</v>
      </c>
      <c r="F79" t="str">
        <f t="shared" si="2"/>
        <v>0x8B</v>
      </c>
    </row>
    <row r="80" spans="2:6" x14ac:dyDescent="0.3">
      <c r="B80" t="s">
        <v>156</v>
      </c>
      <c r="C80">
        <v>8</v>
      </c>
      <c r="E80" s="6" t="s">
        <v>104</v>
      </c>
      <c r="F80" t="str">
        <f t="shared" si="2"/>
        <v>0x8C</v>
      </c>
    </row>
    <row r="81" spans="2:6" x14ac:dyDescent="0.3">
      <c r="B81" t="s">
        <v>157</v>
      </c>
      <c r="C81">
        <v>8</v>
      </c>
      <c r="E81" s="6" t="s">
        <v>115</v>
      </c>
      <c r="F81" t="str">
        <f t="shared" si="2"/>
        <v>0x8D</v>
      </c>
    </row>
    <row r="82" spans="2:6" x14ac:dyDescent="0.3">
      <c r="B82" t="s">
        <v>158</v>
      </c>
      <c r="C82">
        <v>8</v>
      </c>
      <c r="E82" s="6" t="s">
        <v>122</v>
      </c>
      <c r="F82" t="str">
        <f t="shared" si="2"/>
        <v>0x8E</v>
      </c>
    </row>
    <row r="83" spans="2:6" x14ac:dyDescent="0.3">
      <c r="B83" t="s">
        <v>159</v>
      </c>
      <c r="C83">
        <v>8</v>
      </c>
      <c r="E83" s="6" t="s">
        <v>123</v>
      </c>
      <c r="F83" t="str">
        <f t="shared" si="2"/>
        <v>0x8F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5"/>
  <sheetViews>
    <sheetView workbookViewId="0">
      <selection activeCell="D37" sqref="D37"/>
    </sheetView>
  </sheetViews>
  <sheetFormatPr defaultRowHeight="16.5" x14ac:dyDescent="0.3"/>
  <sheetData>
    <row r="1" spans="1:1" x14ac:dyDescent="0.3">
      <c r="A1" t="s">
        <v>78</v>
      </c>
    </row>
    <row r="2" spans="1:1" x14ac:dyDescent="0.3">
      <c r="A2" t="s">
        <v>79</v>
      </c>
    </row>
    <row r="3" spans="1:1" x14ac:dyDescent="0.3">
      <c r="A3" t="s">
        <v>80</v>
      </c>
    </row>
    <row r="4" spans="1:1" x14ac:dyDescent="0.3">
      <c r="A4" t="s">
        <v>81</v>
      </c>
    </row>
    <row r="5" spans="1:1" x14ac:dyDescent="0.3">
      <c r="A5" t="s">
        <v>89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Sheet1</vt:lpstr>
      <vt:lpstr>기본 검증 코드</vt:lpstr>
      <vt:lpstr>byte 변환 코드</vt:lpstr>
      <vt:lpstr>만들 기능들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KimFamily</dc:creator>
  <cp:lastModifiedBy>Windows 사용자</cp:lastModifiedBy>
  <dcterms:created xsi:type="dcterms:W3CDTF">2018-10-30T16:09:25Z</dcterms:created>
  <dcterms:modified xsi:type="dcterms:W3CDTF">2019-01-01T06:57:41Z</dcterms:modified>
</cp:coreProperties>
</file>